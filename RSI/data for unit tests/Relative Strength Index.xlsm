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240" yWindow="90" windowWidth="13275" windowHeight="8385"/>
  </bookViews>
  <sheets>
    <sheet name="RSI" sheetId="1" r:id="rId1"/>
  </sheets>
  <calcPr calcId="145621"/>
</workbook>
</file>

<file path=xl/calcChain.xml><?xml version="1.0" encoding="utf-8"?>
<calcChain xmlns="http://schemas.openxmlformats.org/spreadsheetml/2006/main">
  <c r="G20" i="1" l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9" i="1"/>
  <c r="C38" i="1"/>
  <c r="D38" i="1" s="1"/>
  <c r="F38" i="1" s="1"/>
  <c r="E38" i="1"/>
  <c r="C39" i="1"/>
  <c r="D39" i="1"/>
  <c r="E39" i="1"/>
  <c r="C40" i="1"/>
  <c r="D40" i="1" s="1"/>
  <c r="E40" i="1"/>
  <c r="C41" i="1"/>
  <c r="D41" i="1"/>
  <c r="E41" i="1"/>
  <c r="C42" i="1"/>
  <c r="D42" i="1" s="1"/>
  <c r="E42" i="1"/>
  <c r="C43" i="1"/>
  <c r="D43" i="1"/>
  <c r="E43" i="1"/>
  <c r="C44" i="1"/>
  <c r="D44" i="1" s="1"/>
  <c r="E44" i="1"/>
  <c r="C45" i="1"/>
  <c r="D45" i="1"/>
  <c r="E45" i="1"/>
  <c r="C46" i="1"/>
  <c r="D46" i="1" s="1"/>
  <c r="E46" i="1"/>
  <c r="C47" i="1"/>
  <c r="D47" i="1"/>
  <c r="E47" i="1"/>
  <c r="C48" i="1"/>
  <c r="D48" i="1" s="1"/>
  <c r="E48" i="1"/>
  <c r="C49" i="1"/>
  <c r="D49" i="1"/>
  <c r="E49" i="1"/>
  <c r="C50" i="1"/>
  <c r="D50" i="1" s="1"/>
  <c r="E50" i="1"/>
  <c r="C51" i="1"/>
  <c r="D51" i="1"/>
  <c r="E51" i="1"/>
  <c r="C52" i="1"/>
  <c r="D52" i="1" s="1"/>
  <c r="E52" i="1"/>
  <c r="C53" i="1"/>
  <c r="D53" i="1"/>
  <c r="E53" i="1"/>
  <c r="C54" i="1"/>
  <c r="D54" i="1" s="1"/>
  <c r="E54" i="1"/>
  <c r="C55" i="1"/>
  <c r="D55" i="1"/>
  <c r="E55" i="1"/>
  <c r="C56" i="1"/>
  <c r="D56" i="1" s="1"/>
  <c r="E56" i="1"/>
  <c r="C57" i="1"/>
  <c r="D57" i="1"/>
  <c r="E57" i="1"/>
  <c r="C58" i="1"/>
  <c r="D58" i="1" s="1"/>
  <c r="E58" i="1"/>
  <c r="C59" i="1"/>
  <c r="D59" i="1"/>
  <c r="E59" i="1"/>
  <c r="C60" i="1"/>
  <c r="D60" i="1" s="1"/>
  <c r="C61" i="1"/>
  <c r="D61" i="1"/>
  <c r="E61" i="1"/>
  <c r="C62" i="1"/>
  <c r="D62" i="1" s="1"/>
  <c r="E62" i="1"/>
  <c r="C63" i="1"/>
  <c r="D63" i="1"/>
  <c r="E63" i="1"/>
  <c r="C64" i="1"/>
  <c r="D64" i="1" s="1"/>
  <c r="C65" i="1"/>
  <c r="D65" i="1"/>
  <c r="E65" i="1"/>
  <c r="C66" i="1"/>
  <c r="D66" i="1" s="1"/>
  <c r="E66" i="1"/>
  <c r="C67" i="1"/>
  <c r="D67" i="1"/>
  <c r="E67" i="1"/>
  <c r="C68" i="1"/>
  <c r="D68" i="1" s="1"/>
  <c r="C69" i="1"/>
  <c r="D69" i="1"/>
  <c r="E69" i="1"/>
  <c r="C70" i="1"/>
  <c r="D70" i="1" s="1"/>
  <c r="E70" i="1"/>
  <c r="C71" i="1"/>
  <c r="D71" i="1"/>
  <c r="E71" i="1"/>
  <c r="C72" i="1"/>
  <c r="D72" i="1" s="1"/>
  <c r="E72" i="1"/>
  <c r="C73" i="1"/>
  <c r="D73" i="1"/>
  <c r="E73" i="1"/>
  <c r="C74" i="1"/>
  <c r="D74" i="1" s="1"/>
  <c r="E74" i="1"/>
  <c r="C75" i="1"/>
  <c r="D75" i="1"/>
  <c r="E75" i="1"/>
  <c r="C76" i="1"/>
  <c r="D76" i="1" s="1"/>
  <c r="E76" i="1"/>
  <c r="C77" i="1"/>
  <c r="D77" i="1"/>
  <c r="E77" i="1"/>
  <c r="C78" i="1"/>
  <c r="D78" i="1" s="1"/>
  <c r="E78" i="1"/>
  <c r="C79" i="1"/>
  <c r="D79" i="1"/>
  <c r="E79" i="1"/>
  <c r="C80" i="1"/>
  <c r="D80" i="1" s="1"/>
  <c r="E80" i="1"/>
  <c r="C81" i="1"/>
  <c r="D81" i="1"/>
  <c r="E81" i="1"/>
  <c r="C82" i="1"/>
  <c r="D82" i="1" s="1"/>
  <c r="E82" i="1"/>
  <c r="C83" i="1"/>
  <c r="D83" i="1"/>
  <c r="E83" i="1"/>
  <c r="C84" i="1"/>
  <c r="D84" i="1" s="1"/>
  <c r="E84" i="1"/>
  <c r="C85" i="1"/>
  <c r="D85" i="1"/>
  <c r="E85" i="1"/>
  <c r="C86" i="1"/>
  <c r="D86" i="1" s="1"/>
  <c r="E86" i="1"/>
  <c r="C87" i="1"/>
  <c r="D87" i="1"/>
  <c r="E87" i="1"/>
  <c r="C88" i="1"/>
  <c r="D88" i="1" s="1"/>
  <c r="E88" i="1"/>
  <c r="C89" i="1"/>
  <c r="D89" i="1"/>
  <c r="E89" i="1"/>
  <c r="C90" i="1"/>
  <c r="D90" i="1" s="1"/>
  <c r="E90" i="1"/>
  <c r="C91" i="1"/>
  <c r="D91" i="1"/>
  <c r="E91" i="1"/>
  <c r="C92" i="1"/>
  <c r="D92" i="1" s="1"/>
  <c r="E92" i="1"/>
  <c r="C93" i="1"/>
  <c r="D93" i="1"/>
  <c r="E93" i="1"/>
  <c r="C94" i="1"/>
  <c r="D94" i="1" s="1"/>
  <c r="E94" i="1"/>
  <c r="C95" i="1"/>
  <c r="D95" i="1"/>
  <c r="E95" i="1"/>
  <c r="C96" i="1"/>
  <c r="E96" i="1" s="1"/>
  <c r="C97" i="1"/>
  <c r="D97" i="1"/>
  <c r="E97" i="1"/>
  <c r="C98" i="1"/>
  <c r="D98" i="1" s="1"/>
  <c r="E98" i="1"/>
  <c r="C99" i="1"/>
  <c r="D99" i="1"/>
  <c r="E99" i="1"/>
  <c r="C100" i="1"/>
  <c r="D100" i="1" s="1"/>
  <c r="E100" i="1"/>
  <c r="C101" i="1"/>
  <c r="D101" i="1"/>
  <c r="E101" i="1"/>
  <c r="C102" i="1"/>
  <c r="D102" i="1" s="1"/>
  <c r="E102" i="1"/>
  <c r="C103" i="1"/>
  <c r="D103" i="1"/>
  <c r="E103" i="1"/>
  <c r="C104" i="1"/>
  <c r="D104" i="1" s="1"/>
  <c r="C105" i="1"/>
  <c r="D105" i="1"/>
  <c r="E105" i="1"/>
  <c r="C106" i="1"/>
  <c r="D106" i="1" s="1"/>
  <c r="E106" i="1"/>
  <c r="C6" i="1"/>
  <c r="D6" i="1" s="1"/>
  <c r="C7" i="1"/>
  <c r="D7" i="1" s="1"/>
  <c r="E7" i="1"/>
  <c r="C8" i="1"/>
  <c r="D8" i="1" s="1"/>
  <c r="E8" i="1"/>
  <c r="C9" i="1"/>
  <c r="D9" i="1"/>
  <c r="E9" i="1"/>
  <c r="C10" i="1"/>
  <c r="D10" i="1" s="1"/>
  <c r="C11" i="1"/>
  <c r="D11" i="1" s="1"/>
  <c r="E11" i="1"/>
  <c r="C12" i="1"/>
  <c r="D12" i="1" s="1"/>
  <c r="E12" i="1"/>
  <c r="C13" i="1"/>
  <c r="D13" i="1"/>
  <c r="E13" i="1"/>
  <c r="C14" i="1"/>
  <c r="D14" i="1" s="1"/>
  <c r="C15" i="1"/>
  <c r="D15" i="1" s="1"/>
  <c r="E15" i="1"/>
  <c r="C16" i="1"/>
  <c r="D16" i="1" s="1"/>
  <c r="E16" i="1"/>
  <c r="C17" i="1"/>
  <c r="D17" i="1"/>
  <c r="E17" i="1"/>
  <c r="C18" i="1"/>
  <c r="D18" i="1" s="1"/>
  <c r="C19" i="1"/>
  <c r="D19" i="1" s="1"/>
  <c r="E19" i="1"/>
  <c r="C20" i="1"/>
  <c r="D20" i="1" s="1"/>
  <c r="E20" i="1"/>
  <c r="C21" i="1"/>
  <c r="D21" i="1"/>
  <c r="E21" i="1"/>
  <c r="C22" i="1"/>
  <c r="D22" i="1" s="1"/>
  <c r="C23" i="1"/>
  <c r="D23" i="1" s="1"/>
  <c r="E23" i="1"/>
  <c r="C24" i="1"/>
  <c r="D24" i="1" s="1"/>
  <c r="E24" i="1"/>
  <c r="C25" i="1"/>
  <c r="D25" i="1"/>
  <c r="E25" i="1"/>
  <c r="C26" i="1"/>
  <c r="D26" i="1" s="1"/>
  <c r="C27" i="1"/>
  <c r="D27" i="1" s="1"/>
  <c r="E27" i="1"/>
  <c r="C28" i="1"/>
  <c r="D28" i="1" s="1"/>
  <c r="E28" i="1"/>
  <c r="C29" i="1"/>
  <c r="D29" i="1"/>
  <c r="E29" i="1"/>
  <c r="C30" i="1"/>
  <c r="E30" i="1" s="1"/>
  <c r="C31" i="1"/>
  <c r="D31" i="1"/>
  <c r="E31" i="1"/>
  <c r="C32" i="1"/>
  <c r="D32" i="1" s="1"/>
  <c r="C33" i="1"/>
  <c r="D33" i="1" s="1"/>
  <c r="E33" i="1"/>
  <c r="C34" i="1"/>
  <c r="D34" i="1" s="1"/>
  <c r="C35" i="1"/>
  <c r="D35" i="1" s="1"/>
  <c r="C36" i="1"/>
  <c r="D36" i="1" s="1"/>
  <c r="E36" i="1"/>
  <c r="C37" i="1"/>
  <c r="D37" i="1"/>
  <c r="E37" i="1"/>
  <c r="E104" i="1" l="1"/>
  <c r="D96" i="1"/>
  <c r="E68" i="1"/>
  <c r="E64" i="1"/>
  <c r="E60" i="1"/>
  <c r="F39" i="1"/>
  <c r="E35" i="1"/>
  <c r="E32" i="1"/>
  <c r="E26" i="1"/>
  <c r="E22" i="1"/>
  <c r="E18" i="1"/>
  <c r="E14" i="1"/>
  <c r="E10" i="1"/>
  <c r="E6" i="1"/>
  <c r="F19" i="1"/>
  <c r="H19" i="1"/>
  <c r="I19" i="1" s="1"/>
  <c r="F20" i="1"/>
  <c r="E34" i="1"/>
  <c r="D30" i="1"/>
  <c r="F40" i="1" l="1"/>
  <c r="F21" i="1"/>
  <c r="H20" i="1"/>
  <c r="I20" i="1" s="1"/>
  <c r="F41" i="1" l="1"/>
  <c r="H21" i="1"/>
  <c r="I21" i="1" s="1"/>
  <c r="F22" i="1"/>
  <c r="F42" i="1" l="1"/>
  <c r="F23" i="1"/>
  <c r="H22" i="1"/>
  <c r="I22" i="1" s="1"/>
  <c r="F43" i="1" l="1"/>
  <c r="H23" i="1"/>
  <c r="I23" i="1" s="1"/>
  <c r="F24" i="1"/>
  <c r="F44" i="1" l="1"/>
  <c r="F25" i="1"/>
  <c r="H24" i="1"/>
  <c r="I24" i="1" s="1"/>
  <c r="F45" i="1" l="1"/>
  <c r="H25" i="1"/>
  <c r="I25" i="1" s="1"/>
  <c r="F26" i="1"/>
  <c r="F46" i="1" l="1"/>
  <c r="F27" i="1"/>
  <c r="H26" i="1"/>
  <c r="I26" i="1" s="1"/>
  <c r="F47" i="1" l="1"/>
  <c r="H27" i="1"/>
  <c r="I27" i="1" s="1"/>
  <c r="F28" i="1"/>
  <c r="F48" i="1" l="1"/>
  <c r="F29" i="1"/>
  <c r="H28" i="1"/>
  <c r="I28" i="1" s="1"/>
  <c r="F49" i="1" l="1"/>
  <c r="F30" i="1"/>
  <c r="H29" i="1"/>
  <c r="I29" i="1" s="1"/>
  <c r="F50" i="1" l="1"/>
  <c r="F31" i="1"/>
  <c r="H30" i="1"/>
  <c r="I30" i="1" s="1"/>
  <c r="F51" i="1" l="1"/>
  <c r="F32" i="1"/>
  <c r="H31" i="1"/>
  <c r="I31" i="1" s="1"/>
  <c r="F52" i="1" l="1"/>
  <c r="F33" i="1"/>
  <c r="H32" i="1"/>
  <c r="I32" i="1" s="1"/>
  <c r="F53" i="1" l="1"/>
  <c r="F34" i="1"/>
  <c r="H33" i="1"/>
  <c r="I33" i="1" s="1"/>
  <c r="F54" i="1" l="1"/>
  <c r="H34" i="1"/>
  <c r="I34" i="1" s="1"/>
  <c r="F35" i="1"/>
  <c r="F55" i="1" l="1"/>
  <c r="H35" i="1"/>
  <c r="I35" i="1" s="1"/>
  <c r="F36" i="1"/>
  <c r="F56" i="1" l="1"/>
  <c r="F37" i="1"/>
  <c r="H36" i="1"/>
  <c r="I36" i="1" s="1"/>
  <c r="H38" i="1" l="1"/>
  <c r="I38" i="1" s="1"/>
  <c r="F57" i="1"/>
  <c r="H37" i="1"/>
  <c r="I37" i="1" s="1"/>
  <c r="H39" i="1" l="1"/>
  <c r="I39" i="1" s="1"/>
  <c r="F58" i="1"/>
  <c r="H40" i="1" l="1"/>
  <c r="I40" i="1" s="1"/>
  <c r="F59" i="1"/>
  <c r="H41" i="1" l="1"/>
  <c r="I41" i="1" s="1"/>
  <c r="F60" i="1"/>
  <c r="H42" i="1" l="1"/>
  <c r="I42" i="1" s="1"/>
  <c r="F61" i="1"/>
  <c r="H43" i="1" l="1"/>
  <c r="I43" i="1" s="1"/>
  <c r="F62" i="1"/>
  <c r="H44" i="1" l="1"/>
  <c r="I44" i="1" s="1"/>
  <c r="F63" i="1"/>
  <c r="H45" i="1" l="1"/>
  <c r="I45" i="1" s="1"/>
  <c r="F64" i="1"/>
  <c r="H46" i="1" l="1"/>
  <c r="I46" i="1" s="1"/>
  <c r="F65" i="1"/>
  <c r="H47" i="1" l="1"/>
  <c r="I47" i="1" s="1"/>
  <c r="F66" i="1"/>
  <c r="H48" i="1" l="1"/>
  <c r="I48" i="1" s="1"/>
  <c r="F67" i="1"/>
  <c r="H49" i="1" l="1"/>
  <c r="I49" i="1" s="1"/>
  <c r="F68" i="1"/>
  <c r="H50" i="1" l="1"/>
  <c r="I50" i="1" s="1"/>
  <c r="F69" i="1"/>
  <c r="H51" i="1" l="1"/>
  <c r="I51" i="1" s="1"/>
  <c r="F70" i="1"/>
  <c r="H52" i="1" l="1"/>
  <c r="I52" i="1" s="1"/>
  <c r="F71" i="1"/>
  <c r="H53" i="1" l="1"/>
  <c r="I53" i="1" s="1"/>
  <c r="F72" i="1"/>
  <c r="H54" i="1" l="1"/>
  <c r="I54" i="1" s="1"/>
  <c r="F73" i="1"/>
  <c r="H55" i="1" l="1"/>
  <c r="I55" i="1" s="1"/>
  <c r="F74" i="1"/>
  <c r="H56" i="1" l="1"/>
  <c r="I56" i="1" s="1"/>
  <c r="F75" i="1"/>
  <c r="H57" i="1" l="1"/>
  <c r="I57" i="1" s="1"/>
  <c r="F76" i="1"/>
  <c r="H58" i="1" l="1"/>
  <c r="I58" i="1" s="1"/>
  <c r="F77" i="1"/>
  <c r="H59" i="1" l="1"/>
  <c r="I59" i="1" s="1"/>
  <c r="F78" i="1"/>
  <c r="H60" i="1" l="1"/>
  <c r="I60" i="1" s="1"/>
  <c r="F79" i="1"/>
  <c r="H61" i="1" l="1"/>
  <c r="I61" i="1" s="1"/>
  <c r="F80" i="1"/>
  <c r="H62" i="1" l="1"/>
  <c r="I62" i="1" s="1"/>
  <c r="F81" i="1"/>
  <c r="H63" i="1" l="1"/>
  <c r="I63" i="1" s="1"/>
  <c r="F82" i="1"/>
  <c r="H64" i="1" l="1"/>
  <c r="I64" i="1" s="1"/>
  <c r="F83" i="1"/>
  <c r="H65" i="1" l="1"/>
  <c r="I65" i="1" s="1"/>
  <c r="F84" i="1"/>
  <c r="H66" i="1" l="1"/>
  <c r="I66" i="1" s="1"/>
  <c r="F85" i="1"/>
  <c r="H67" i="1" l="1"/>
  <c r="I67" i="1" s="1"/>
  <c r="F86" i="1"/>
  <c r="H68" i="1" l="1"/>
  <c r="I68" i="1" s="1"/>
  <c r="F87" i="1"/>
  <c r="H69" i="1" l="1"/>
  <c r="I69" i="1" s="1"/>
  <c r="F88" i="1"/>
  <c r="H70" i="1" l="1"/>
  <c r="I70" i="1" s="1"/>
  <c r="F89" i="1"/>
  <c r="H71" i="1" l="1"/>
  <c r="I71" i="1" s="1"/>
  <c r="F90" i="1"/>
  <c r="H72" i="1" l="1"/>
  <c r="I72" i="1" s="1"/>
  <c r="F91" i="1"/>
  <c r="H73" i="1" l="1"/>
  <c r="I73" i="1" s="1"/>
  <c r="F92" i="1"/>
  <c r="H74" i="1" l="1"/>
  <c r="I74" i="1" s="1"/>
  <c r="F93" i="1"/>
  <c r="H75" i="1" l="1"/>
  <c r="I75" i="1" s="1"/>
  <c r="F94" i="1"/>
  <c r="H76" i="1" l="1"/>
  <c r="I76" i="1" s="1"/>
  <c r="F95" i="1"/>
  <c r="H77" i="1" l="1"/>
  <c r="I77" i="1" s="1"/>
  <c r="F96" i="1"/>
  <c r="H78" i="1" l="1"/>
  <c r="I78" i="1" s="1"/>
  <c r="F97" i="1"/>
  <c r="H79" i="1" l="1"/>
  <c r="I79" i="1" s="1"/>
  <c r="F98" i="1"/>
  <c r="H80" i="1" l="1"/>
  <c r="I80" i="1" s="1"/>
  <c r="F99" i="1"/>
  <c r="H81" i="1" l="1"/>
  <c r="I81" i="1" s="1"/>
  <c r="F100" i="1"/>
  <c r="H82" i="1" l="1"/>
  <c r="I82" i="1" s="1"/>
  <c r="F101" i="1"/>
  <c r="H83" i="1" l="1"/>
  <c r="I83" i="1" s="1"/>
  <c r="F102" i="1"/>
  <c r="H84" i="1" l="1"/>
  <c r="I84" i="1" s="1"/>
  <c r="F103" i="1"/>
  <c r="H85" i="1" l="1"/>
  <c r="I85" i="1" s="1"/>
  <c r="F104" i="1"/>
  <c r="H86" i="1" l="1"/>
  <c r="I86" i="1" s="1"/>
  <c r="F105" i="1"/>
  <c r="H87" i="1" l="1"/>
  <c r="I87" i="1" s="1"/>
  <c r="F106" i="1"/>
  <c r="H88" i="1" l="1"/>
  <c r="I88" i="1" s="1"/>
  <c r="H89" i="1" l="1"/>
  <c r="I89" i="1" s="1"/>
  <c r="H90" i="1" l="1"/>
  <c r="I90" i="1" s="1"/>
  <c r="H91" i="1" l="1"/>
  <c r="I91" i="1" s="1"/>
  <c r="H92" i="1" l="1"/>
  <c r="I92" i="1" s="1"/>
  <c r="H93" i="1" l="1"/>
  <c r="I93" i="1" s="1"/>
  <c r="H94" i="1" l="1"/>
  <c r="I94" i="1" s="1"/>
  <c r="H95" i="1" l="1"/>
  <c r="I95" i="1" s="1"/>
  <c r="H96" i="1" l="1"/>
  <c r="I96" i="1" s="1"/>
  <c r="H97" i="1" l="1"/>
  <c r="I97" i="1" s="1"/>
  <c r="H98" i="1" l="1"/>
  <c r="I98" i="1" s="1"/>
  <c r="H99" i="1" l="1"/>
  <c r="I99" i="1" s="1"/>
  <c r="H100" i="1" l="1"/>
  <c r="I100" i="1" s="1"/>
  <c r="H101" i="1" l="1"/>
  <c r="I101" i="1" s="1"/>
  <c r="H102" i="1" l="1"/>
  <c r="I102" i="1" s="1"/>
  <c r="H103" i="1" l="1"/>
  <c r="I103" i="1" s="1"/>
  <c r="H104" i="1" l="1"/>
  <c r="I104" i="1" s="1"/>
  <c r="H105" i="1" l="1"/>
  <c r="I105" i="1" s="1"/>
  <c r="H106" i="1" l="1"/>
  <c r="I106" i="1" s="1"/>
</calcChain>
</file>

<file path=xl/sharedStrings.xml><?xml version="1.0" encoding="utf-8"?>
<sst xmlns="http://schemas.openxmlformats.org/spreadsheetml/2006/main" count="12" uniqueCount="12">
  <si>
    <t>Gain</t>
  </si>
  <si>
    <t xml:space="preserve">Loss </t>
  </si>
  <si>
    <t>RS</t>
  </si>
  <si>
    <t>Change</t>
  </si>
  <si>
    <t>Date</t>
  </si>
  <si>
    <t>Avg Gain</t>
  </si>
  <si>
    <t>Avg Loss</t>
  </si>
  <si>
    <t xml:space="preserve"> Close</t>
  </si>
  <si>
    <t>http://investexcel.net</t>
  </si>
  <si>
    <t xml:space="preserve"> </t>
  </si>
  <si>
    <t>Relative Strength Index</t>
  </si>
  <si>
    <t>14-Day RSI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</si>
</sst>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;\-0.0000;"/>
    <numFmt numFmtId="165" formatCode="0.0000"/>
  </numFmts>
  <fonts count="11">
    <font>
      <sz val="10"/>
      <name val="Arial"/>
    </font>
    <font>
      <sz val="8"/>
      <name val="Arial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4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3"/>
      <name val="Calibri"/>
      <family val="2"/>
      <scheme val="minor"/>
    </font>
    <font>
      <u/>
      <sz val="11"/>
      <color rgb="FF3333FF"/>
      <name val="Calibri"/>
      <family val="2"/>
      <scheme val="minor"/>
    </font>
    <font>
      <sz val="12"/>
      <name val="宋体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0" borderId="1" applyNumberFormat="0" applyFill="0" applyAlignment="0" applyProtection="0"/>
    <xf numFmtId="0" fontId="6" fillId="0" borderId="0" applyNumberFormat="0" applyFill="0" applyBorder="0" applyAlignment="0" applyProtection="0"/>
    <xf numFmtId="0" fontId="3" fillId="0" borderId="0"/>
    <xf numFmtId="0" fontId="10" fillId="0" borderId="0">
      <alignment vertical="center"/>
    </xf>
    <xf numFmtId="0" fontId="7" fillId="0" borderId="0" applyNumberFormat="0" applyFill="0" applyBorder="0" applyAlignment="0" applyProtection="0"/>
  </cellStyleXfs>
  <cellXfs count="14">
    <xf numFmtId="0" fontId="0" fillId="0" borderId="0" xfId="0"/>
    <xf numFmtId="2" fontId="4" fillId="0" borderId="0" xfId="0" applyNumberFormat="1" applyFont="1" applyFill="1" applyBorder="1" applyAlignment="1">
      <alignment vertical="center" wrapText="1"/>
    </xf>
    <xf numFmtId="0" fontId="4" fillId="0" borderId="0" xfId="0" applyFont="1" applyFill="1" applyBorder="1"/>
    <xf numFmtId="2" fontId="4" fillId="0" borderId="0" xfId="0" applyNumberFormat="1" applyFont="1" applyFill="1" applyBorder="1" applyAlignment="1">
      <alignment horizontal="right"/>
    </xf>
    <xf numFmtId="0" fontId="4" fillId="0" borderId="0" xfId="0" applyFont="1" applyFill="1" applyBorder="1" applyAlignment="1">
      <alignment horizontal="right"/>
    </xf>
    <xf numFmtId="164" fontId="4" fillId="0" borderId="0" xfId="0" applyNumberFormat="1" applyFont="1" applyFill="1" applyBorder="1" applyAlignment="1">
      <alignment horizontal="right"/>
    </xf>
    <xf numFmtId="0" fontId="5" fillId="0" borderId="0" xfId="0" applyFont="1" applyFill="1" applyBorder="1"/>
    <xf numFmtId="165" fontId="4" fillId="0" borderId="0" xfId="0" applyNumberFormat="1" applyFont="1" applyFill="1" applyBorder="1"/>
    <xf numFmtId="2" fontId="8" fillId="2" borderId="2" xfId="1" applyNumberFormat="1" applyFont="1" applyFill="1" applyBorder="1" applyAlignment="1">
      <alignment horizontal="center" vertical="center" wrapText="1"/>
    </xf>
    <xf numFmtId="2" fontId="8" fillId="2" borderId="3" xfId="1" applyNumberFormat="1" applyFont="1" applyFill="1" applyBorder="1" applyAlignment="1">
      <alignment horizontal="center" vertical="center" wrapText="1"/>
    </xf>
    <xf numFmtId="2" fontId="8" fillId="2" borderId="4" xfId="1" applyNumberFormat="1" applyFont="1" applyFill="1" applyBorder="1" applyAlignment="1">
      <alignment horizontal="center" vertical="center" wrapText="1"/>
    </xf>
    <xf numFmtId="0" fontId="9" fillId="0" borderId="0" xfId="2" applyFont="1" applyFill="1" applyBorder="1"/>
    <xf numFmtId="0" fontId="3" fillId="0" borderId="0" xfId="3"/>
    <xf numFmtId="14" fontId="3" fillId="0" borderId="0" xfId="3" applyNumberFormat="1"/>
  </cellXfs>
  <cellStyles count="6">
    <cellStyle name="Heading 2" xfId="1" builtinId="17"/>
    <cellStyle name="Hyperlink" xfId="2" builtinId="8"/>
    <cellStyle name="Hyperlink 2" xfId="5"/>
    <cellStyle name="Normal" xfId="0" builtinId="0"/>
    <cellStyle name="Normal 2" xfId="4"/>
    <cellStyle name="Normal 3" xfId="3"/>
  </cellStyles>
  <dxfs count="0"/>
  <tableStyles count="0" defaultTableStyle="TableStyleMedium2" defaultPivotStyle="PivotStyleLight16"/>
  <colors>
    <mruColors>
      <color rgb="FF3333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BP Closing Share Price from 31st</a:t>
            </a:r>
            <a:r>
              <a:rPr lang="en-CA" baseline="0"/>
              <a:t> Jan 2011</a:t>
            </a:r>
            <a:endParaRPr lang="en-CA"/>
          </a:p>
        </c:rich>
      </c:tx>
      <c:layout>
        <c:manualLayout>
          <c:xMode val="edge"/>
          <c:yMode val="edge"/>
          <c:x val="0.17827236028151833"/>
          <c:y val="2.777777777777777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239373377001636"/>
          <c:y val="0.17177092446777487"/>
          <c:w val="0.87414045138674457"/>
          <c:h val="0.71224919801691455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yVal>
            <c:numRef>
              <c:f>RSI!$B$19:$B$106</c:f>
              <c:numCache>
                <c:formatCode>General</c:formatCode>
                <c:ptCount val="88"/>
                <c:pt idx="0">
                  <c:v>48.08</c:v>
                </c:pt>
                <c:pt idx="1">
                  <c:v>47.21</c:v>
                </c:pt>
                <c:pt idx="2">
                  <c:v>46.76</c:v>
                </c:pt>
                <c:pt idx="3">
                  <c:v>46.68</c:v>
                </c:pt>
                <c:pt idx="4">
                  <c:v>46.21</c:v>
                </c:pt>
                <c:pt idx="5">
                  <c:v>47.47</c:v>
                </c:pt>
                <c:pt idx="6">
                  <c:v>47.98</c:v>
                </c:pt>
                <c:pt idx="7">
                  <c:v>47.13</c:v>
                </c:pt>
                <c:pt idx="8">
                  <c:v>46.58</c:v>
                </c:pt>
                <c:pt idx="9">
                  <c:v>46.03</c:v>
                </c:pt>
                <c:pt idx="10">
                  <c:v>46.54</c:v>
                </c:pt>
                <c:pt idx="11">
                  <c:v>46.79</c:v>
                </c:pt>
                <c:pt idx="12">
                  <c:v>45.83</c:v>
                </c:pt>
                <c:pt idx="13">
                  <c:v>45.93</c:v>
                </c:pt>
                <c:pt idx="14">
                  <c:v>45.8</c:v>
                </c:pt>
                <c:pt idx="15">
                  <c:v>46.69</c:v>
                </c:pt>
                <c:pt idx="16">
                  <c:v>47.05</c:v>
                </c:pt>
                <c:pt idx="17">
                  <c:v>47.3</c:v>
                </c:pt>
                <c:pt idx="18">
                  <c:v>48.1</c:v>
                </c:pt>
                <c:pt idx="19">
                  <c:v>47.93</c:v>
                </c:pt>
                <c:pt idx="20">
                  <c:v>47.03</c:v>
                </c:pt>
                <c:pt idx="21">
                  <c:v>47.58</c:v>
                </c:pt>
                <c:pt idx="22">
                  <c:v>47.38</c:v>
                </c:pt>
                <c:pt idx="23">
                  <c:v>48.1</c:v>
                </c:pt>
                <c:pt idx="24">
                  <c:v>48.47</c:v>
                </c:pt>
                <c:pt idx="25">
                  <c:v>47.6</c:v>
                </c:pt>
                <c:pt idx="26">
                  <c:v>47.74</c:v>
                </c:pt>
                <c:pt idx="27">
                  <c:v>48.21</c:v>
                </c:pt>
                <c:pt idx="28">
                  <c:v>48.56</c:v>
                </c:pt>
                <c:pt idx="29">
                  <c:v>48.15</c:v>
                </c:pt>
                <c:pt idx="30">
                  <c:v>47.81</c:v>
                </c:pt>
                <c:pt idx="31">
                  <c:v>47.41</c:v>
                </c:pt>
                <c:pt idx="32">
                  <c:v>45.66</c:v>
                </c:pt>
                <c:pt idx="33">
                  <c:v>45.75</c:v>
                </c:pt>
                <c:pt idx="34">
                  <c:v>45.07</c:v>
                </c:pt>
                <c:pt idx="35">
                  <c:v>43.77</c:v>
                </c:pt>
                <c:pt idx="36">
                  <c:v>43.25</c:v>
                </c:pt>
                <c:pt idx="37">
                  <c:v>44.68</c:v>
                </c:pt>
                <c:pt idx="38">
                  <c:v>45.11</c:v>
                </c:pt>
                <c:pt idx="39">
                  <c:v>45.8</c:v>
                </c:pt>
                <c:pt idx="40">
                  <c:v>45.74</c:v>
                </c:pt>
                <c:pt idx="41">
                  <c:v>46.23</c:v>
                </c:pt>
                <c:pt idx="42">
                  <c:v>46.81</c:v>
                </c:pt>
                <c:pt idx="43">
                  <c:v>46.87</c:v>
                </c:pt>
                <c:pt idx="44">
                  <c:v>46.04</c:v>
                </c:pt>
                <c:pt idx="45">
                  <c:v>44.78</c:v>
                </c:pt>
                <c:pt idx="46">
                  <c:v>44.58</c:v>
                </c:pt>
                <c:pt idx="47">
                  <c:v>44.14</c:v>
                </c:pt>
                <c:pt idx="48">
                  <c:v>45.66</c:v>
                </c:pt>
                <c:pt idx="49">
                  <c:v>45.89</c:v>
                </c:pt>
                <c:pt idx="50">
                  <c:v>46.73</c:v>
                </c:pt>
                <c:pt idx="51">
                  <c:v>46.86</c:v>
                </c:pt>
                <c:pt idx="52">
                  <c:v>46.95</c:v>
                </c:pt>
                <c:pt idx="53">
                  <c:v>46.74</c:v>
                </c:pt>
                <c:pt idx="54">
                  <c:v>46.67</c:v>
                </c:pt>
                <c:pt idx="55">
                  <c:v>45.3</c:v>
                </c:pt>
                <c:pt idx="56">
                  <c:v>45.4</c:v>
                </c:pt>
                <c:pt idx="57">
                  <c:v>45.54</c:v>
                </c:pt>
                <c:pt idx="58">
                  <c:v>44.96</c:v>
                </c:pt>
                <c:pt idx="59">
                  <c:v>44.47</c:v>
                </c:pt>
                <c:pt idx="60">
                  <c:v>44.68</c:v>
                </c:pt>
                <c:pt idx="61">
                  <c:v>45.91</c:v>
                </c:pt>
                <c:pt idx="62">
                  <c:v>46.03</c:v>
                </c:pt>
                <c:pt idx="63">
                  <c:v>45.98</c:v>
                </c:pt>
                <c:pt idx="64">
                  <c:v>46.32</c:v>
                </c:pt>
                <c:pt idx="65">
                  <c:v>46.53</c:v>
                </c:pt>
                <c:pt idx="66">
                  <c:v>46.28</c:v>
                </c:pt>
                <c:pt idx="67">
                  <c:v>46.14</c:v>
                </c:pt>
                <c:pt idx="68">
                  <c:v>45.92</c:v>
                </c:pt>
                <c:pt idx="69">
                  <c:v>44.8</c:v>
                </c:pt>
                <c:pt idx="70">
                  <c:v>44.38</c:v>
                </c:pt>
                <c:pt idx="71">
                  <c:v>43.48</c:v>
                </c:pt>
                <c:pt idx="72">
                  <c:v>44.28</c:v>
                </c:pt>
                <c:pt idx="73">
                  <c:v>44.87</c:v>
                </c:pt>
                <c:pt idx="74">
                  <c:v>44.98</c:v>
                </c:pt>
                <c:pt idx="75">
                  <c:v>43.96</c:v>
                </c:pt>
                <c:pt idx="76">
                  <c:v>43.58</c:v>
                </c:pt>
                <c:pt idx="77">
                  <c:v>42.93</c:v>
                </c:pt>
                <c:pt idx="78">
                  <c:v>42.46</c:v>
                </c:pt>
                <c:pt idx="79">
                  <c:v>42.8</c:v>
                </c:pt>
                <c:pt idx="80">
                  <c:v>43.27</c:v>
                </c:pt>
                <c:pt idx="81">
                  <c:v>43.89</c:v>
                </c:pt>
                <c:pt idx="82">
                  <c:v>45</c:v>
                </c:pt>
                <c:pt idx="83">
                  <c:v>44.03</c:v>
                </c:pt>
                <c:pt idx="84">
                  <c:v>44.37</c:v>
                </c:pt>
                <c:pt idx="85">
                  <c:v>44.71</c:v>
                </c:pt>
                <c:pt idx="86">
                  <c:v>45.38</c:v>
                </c:pt>
                <c:pt idx="87">
                  <c:v>45.54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859520"/>
        <c:axId val="166012032"/>
      </c:scatterChart>
      <c:valAx>
        <c:axId val="106859520"/>
        <c:scaling>
          <c:orientation val="minMax"/>
          <c:max val="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200"/>
                  <a:t>Days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166012032"/>
        <c:crosses val="autoZero"/>
        <c:crossBetween val="midCat"/>
      </c:valAx>
      <c:valAx>
        <c:axId val="166012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 sz="1200"/>
                  <a:t>Price</a:t>
                </a:r>
                <a:r>
                  <a:rPr lang="en-CA" sz="1200" baseline="0"/>
                  <a:t> ($)</a:t>
                </a:r>
                <a:endParaRPr lang="en-CA" sz="1200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6859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Relative Strength</a:t>
            </a:r>
            <a:r>
              <a:rPr lang="en-CA" baseline="0"/>
              <a:t> Index of BP</a:t>
            </a:r>
            <a:endParaRPr lang="en-CA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yVal>
            <c:numRef>
              <c:f>RSI!$I$19:$I$106</c:f>
              <c:numCache>
                <c:formatCode>0.00</c:formatCode>
                <c:ptCount val="88"/>
                <c:pt idx="0">
                  <c:v>69.455511288180617</c:v>
                </c:pt>
                <c:pt idx="1">
                  <c:v>61.769782865449287</c:v>
                </c:pt>
                <c:pt idx="2">
                  <c:v>58.183410022973973</c:v>
                </c:pt>
                <c:pt idx="3">
                  <c:v>57.543763881620301</c:v>
                </c:pt>
                <c:pt idx="4">
                  <c:v>53.801555236123825</c:v>
                </c:pt>
                <c:pt idx="5">
                  <c:v>61.104336424787199</c:v>
                </c:pt>
                <c:pt idx="6">
                  <c:v>63.61164437299859</c:v>
                </c:pt>
                <c:pt idx="7">
                  <c:v>57.014918557544625</c:v>
                </c:pt>
                <c:pt idx="8">
                  <c:v>53.172477992341527</c:v>
                </c:pt>
                <c:pt idx="9">
                  <c:v>49.574475485761965</c:v>
                </c:pt>
                <c:pt idx="10">
                  <c:v>52.766160199905634</c:v>
                </c:pt>
                <c:pt idx="11">
                  <c:v>54.293385566226334</c:v>
                </c:pt>
                <c:pt idx="12">
                  <c:v>47.889987403197082</c:v>
                </c:pt>
                <c:pt idx="13">
                  <c:v>48.5704275777817</c:v>
                </c:pt>
                <c:pt idx="14">
                  <c:v>47.69845837234719</c:v>
                </c:pt>
                <c:pt idx="15">
                  <c:v>53.811960742256289</c:v>
                </c:pt>
                <c:pt idx="16">
                  <c:v>56.049823239198368</c:v>
                </c:pt>
                <c:pt idx="17">
                  <c:v>57.586662721822535</c:v>
                </c:pt>
                <c:pt idx="18">
                  <c:v>62.147992407676377</c:v>
                </c:pt>
                <c:pt idx="19">
                  <c:v>60.655195784311537</c:v>
                </c:pt>
                <c:pt idx="20">
                  <c:v>53.34919547938722</c:v>
                </c:pt>
                <c:pt idx="21">
                  <c:v>56.775650291634975</c:v>
                </c:pt>
                <c:pt idx="22">
                  <c:v>55.188257007470199</c:v>
                </c:pt>
                <c:pt idx="23">
                  <c:v>59.570604881789102</c:v>
                </c:pt>
                <c:pt idx="24">
                  <c:v>61.64635725134594</c:v>
                </c:pt>
                <c:pt idx="25">
                  <c:v>54.553761446335393</c:v>
                </c:pt>
                <c:pt idx="26">
                  <c:v>55.442175133279797</c:v>
                </c:pt>
                <c:pt idx="27">
                  <c:v>58.383464327757579</c:v>
                </c:pt>
                <c:pt idx="28">
                  <c:v>60.475801573560254</c:v>
                </c:pt>
                <c:pt idx="29">
                  <c:v>56.868846944168695</c:v>
                </c:pt>
                <c:pt idx="30">
                  <c:v>53.992934112237414</c:v>
                </c:pt>
                <c:pt idx="31">
                  <c:v>50.741813804519438</c:v>
                </c:pt>
                <c:pt idx="32">
                  <c:v>39.527791754705326</c:v>
                </c:pt>
                <c:pt idx="33">
                  <c:v>40.25902656431731</c:v>
                </c:pt>
                <c:pt idx="34">
                  <c:v>36.652752637419511</c:v>
                </c:pt>
                <c:pt idx="35">
                  <c:v>30.945666737176651</c:v>
                </c:pt>
                <c:pt idx="36">
                  <c:v>29.000495217366264</c:v>
                </c:pt>
                <c:pt idx="37">
                  <c:v>40.143163362749469</c:v>
                </c:pt>
                <c:pt idx="38">
                  <c:v>43.038077054606312</c:v>
                </c:pt>
                <c:pt idx="39">
                  <c:v>47.431591015076016</c:v>
                </c:pt>
                <c:pt idx="40">
                  <c:v>47.091452121717296</c:v>
                </c:pt>
                <c:pt idx="41">
                  <c:v>50.230387495302281</c:v>
                </c:pt>
                <c:pt idx="42">
                  <c:v>53.729645433916993</c:v>
                </c:pt>
                <c:pt idx="43">
                  <c:v>54.089257252382758</c:v>
                </c:pt>
                <c:pt idx="44">
                  <c:v>48.476527212415562</c:v>
                </c:pt>
                <c:pt idx="45">
                  <c:v>41.445515544360269</c:v>
                </c:pt>
                <c:pt idx="46">
                  <c:v>40.442813696435593</c:v>
                </c:pt>
                <c:pt idx="47">
                  <c:v>38.250327865583223</c:v>
                </c:pt>
                <c:pt idx="48">
                  <c:v>48.614043187458492</c:v>
                </c:pt>
                <c:pt idx="49">
                  <c:v>49.982011301322572</c:v>
                </c:pt>
                <c:pt idx="50">
                  <c:v>54.722766632312791</c:v>
                </c:pt>
                <c:pt idx="51">
                  <c:v>55.426880818286193</c:v>
                </c:pt>
                <c:pt idx="52">
                  <c:v>55.937754673101935</c:v>
                </c:pt>
                <c:pt idx="53">
                  <c:v>54.371811766273893</c:v>
                </c:pt>
                <c:pt idx="54">
                  <c:v>53.830851247127768</c:v>
                </c:pt>
                <c:pt idx="55">
                  <c:v>44.499330020147156</c:v>
                </c:pt>
                <c:pt idx="56">
                  <c:v>45.245444680102111</c:v>
                </c:pt>
                <c:pt idx="57">
                  <c:v>46.333186623053251</c:v>
                </c:pt>
                <c:pt idx="58">
                  <c:v>42.560928886544438</c:v>
                </c:pt>
                <c:pt idx="59">
                  <c:v>39.625719306619139</c:v>
                </c:pt>
                <c:pt idx="60">
                  <c:v>41.488148444732509</c:v>
                </c:pt>
                <c:pt idx="61">
                  <c:v>51.018894005071047</c:v>
                </c:pt>
                <c:pt idx="62">
                  <c:v>51.843037692564771</c:v>
                </c:pt>
                <c:pt idx="63">
                  <c:v>51.454555051200998</c:v>
                </c:pt>
                <c:pt idx="64">
                  <c:v>53.979908943879607</c:v>
                </c:pt>
                <c:pt idx="65">
                  <c:v>55.519030999331513</c:v>
                </c:pt>
                <c:pt idx="66">
                  <c:v>53.236380072757846</c:v>
                </c:pt>
                <c:pt idx="67">
                  <c:v>51.948303434015749</c:v>
                </c:pt>
                <c:pt idx="68">
                  <c:v>49.904892831096078</c:v>
                </c:pt>
                <c:pt idx="69">
                  <c:v>41.051775091683709</c:v>
                </c:pt>
                <c:pt idx="70">
                  <c:v>38.3073512254023</c:v>
                </c:pt>
                <c:pt idx="71">
                  <c:v>33.187353477414703</c:v>
                </c:pt>
                <c:pt idx="72">
                  <c:v>40.765987882992256</c:v>
                </c:pt>
                <c:pt idx="73">
                  <c:v>45.661381145312845</c:v>
                </c:pt>
                <c:pt idx="74">
                  <c:v>46.548339028346064</c:v>
                </c:pt>
                <c:pt idx="75">
                  <c:v>40.024380509021761</c:v>
                </c:pt>
                <c:pt idx="76">
                  <c:v>37.893589495325628</c:v>
                </c:pt>
                <c:pt idx="77">
                  <c:v>34.50930478808317</c:v>
                </c:pt>
                <c:pt idx="78">
                  <c:v>32.265385708853302</c:v>
                </c:pt>
                <c:pt idx="79">
                  <c:v>35.531162959837445</c:v>
                </c:pt>
                <c:pt idx="80">
                  <c:v>39.848593028140428</c:v>
                </c:pt>
                <c:pt idx="81">
                  <c:v>45.074130116272968</c:v>
                </c:pt>
                <c:pt idx="82">
                  <c:v>52.954074208103698</c:v>
                </c:pt>
                <c:pt idx="83">
                  <c:v>46.65498593898392</c:v>
                </c:pt>
                <c:pt idx="84">
                  <c:v>48.947374649210062</c:v>
                </c:pt>
                <c:pt idx="85">
                  <c:v>51.205509621608272</c:v>
                </c:pt>
                <c:pt idx="86">
                  <c:v>55.392661352261889</c:v>
                </c:pt>
                <c:pt idx="87">
                  <c:v>56.355833638968569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41088"/>
        <c:axId val="166043008"/>
      </c:scatterChart>
      <c:valAx>
        <c:axId val="166041088"/>
        <c:scaling>
          <c:orientation val="minMax"/>
          <c:max val="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200"/>
                  <a:t>Days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166043008"/>
        <c:crosses val="autoZero"/>
        <c:crossBetween val="midCat"/>
      </c:valAx>
      <c:valAx>
        <c:axId val="166043008"/>
        <c:scaling>
          <c:orientation val="minMax"/>
          <c:min val="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CA" sz="1200"/>
                  <a:t>RSI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16604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400050</xdr:colOff>
      <xdr:row>16</xdr:row>
      <xdr:rowOff>100012</xdr:rowOff>
    </xdr:from>
    <xdr:to>
      <xdr:col>19</xdr:col>
      <xdr:colOff>314326</xdr:colOff>
      <xdr:row>30</xdr:row>
      <xdr:rowOff>42862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409575</xdr:colOff>
      <xdr:row>2</xdr:row>
      <xdr:rowOff>147637</xdr:rowOff>
    </xdr:from>
    <xdr:to>
      <xdr:col>19</xdr:col>
      <xdr:colOff>314325</xdr:colOff>
      <xdr:row>16</xdr:row>
      <xdr:rowOff>90487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200025</xdr:colOff>
      <xdr:row>6</xdr:row>
      <xdr:rowOff>152400</xdr:rowOff>
    </xdr:from>
    <xdr:to>
      <xdr:col>14</xdr:col>
      <xdr:colOff>200025</xdr:colOff>
      <xdr:row>27</xdr:row>
      <xdr:rowOff>114300</xdr:rowOff>
    </xdr:to>
    <xdr:cxnSp macro="">
      <xdr:nvCxnSpPr>
        <xdr:cNvPr id="6" name="Straight Connector 5"/>
        <xdr:cNvCxnSpPr/>
      </xdr:nvCxnSpPr>
      <xdr:spPr>
        <a:xfrm>
          <a:off x="9191625" y="1562100"/>
          <a:ext cx="0" cy="4162425"/>
        </a:xfrm>
        <a:prstGeom prst="line">
          <a:avLst/>
        </a:prstGeom>
        <a:ln>
          <a:prstDash val="lg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523875</xdr:colOff>
      <xdr:row>12</xdr:row>
      <xdr:rowOff>47625</xdr:rowOff>
    </xdr:from>
    <xdr:to>
      <xdr:col>14</xdr:col>
      <xdr:colOff>428625</xdr:colOff>
      <xdr:row>12</xdr:row>
      <xdr:rowOff>47625</xdr:rowOff>
    </xdr:to>
    <xdr:cxnSp macro="">
      <xdr:nvCxnSpPr>
        <xdr:cNvPr id="9" name="Straight Connector 8"/>
        <xdr:cNvCxnSpPr/>
      </xdr:nvCxnSpPr>
      <xdr:spPr>
        <a:xfrm>
          <a:off x="8924925" y="2657475"/>
          <a:ext cx="495300" cy="0"/>
        </a:xfrm>
        <a:prstGeom prst="line">
          <a:avLst/>
        </a:prstGeom>
        <a:ln>
          <a:prstDash val="lg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0.45035</cdr:x>
      <cdr:y>0.28993</cdr:y>
    </cdr:from>
    <cdr:to>
      <cdr:x>0.58968</cdr:x>
      <cdr:y>0.37674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693860" y="795338"/>
          <a:ext cx="833445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CA" sz="1200"/>
            <a:t>Buy Signal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investexcel.ne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109"/>
  <sheetViews>
    <sheetView showGridLines="0" showZeros="0" tabSelected="1" zoomScaleNormal="100" workbookViewId="0">
      <selection activeCell="AA12" sqref="AA12"/>
    </sheetView>
  </sheetViews>
  <sheetFormatPr defaultColWidth="8.85546875" defaultRowHeight="15.75" customHeight="1"/>
  <cols>
    <col min="1" max="1" width="12.140625" style="2" customWidth="1"/>
    <col min="2" max="2" width="8.5703125" style="4" customWidth="1"/>
    <col min="3" max="3" width="11" style="4" customWidth="1"/>
    <col min="4" max="5" width="8.5703125" style="5" customWidth="1"/>
    <col min="6" max="6" width="10.28515625" style="4" customWidth="1"/>
    <col min="7" max="7" width="10" style="4" customWidth="1"/>
    <col min="8" max="8" width="8.5703125" style="4" customWidth="1"/>
    <col min="9" max="9" width="12.85546875" style="4" customWidth="1"/>
    <col min="10" max="17" width="8.85546875" style="2"/>
    <col min="18" max="18" width="11.42578125" style="2" customWidth="1"/>
    <col min="19" max="16384" width="8.85546875" style="2"/>
  </cols>
  <sheetData>
    <row r="1" spans="1:19" ht="32.25" customHeight="1">
      <c r="A1" s="6" t="s">
        <v>10</v>
      </c>
    </row>
    <row r="2" spans="1:19" ht="15.75" customHeight="1">
      <c r="A2" s="11" t="s">
        <v>8</v>
      </c>
    </row>
    <row r="3" spans="1:19" ht="15.75" customHeight="1" thickBot="1">
      <c r="A3" s="11"/>
    </row>
    <row r="4" spans="1:19" s="1" customFormat="1" ht="15.75" customHeight="1" thickBot="1">
      <c r="A4" s="8" t="s">
        <v>4</v>
      </c>
      <c r="B4" s="9" t="s">
        <v>7</v>
      </c>
      <c r="C4" s="9" t="s">
        <v>3</v>
      </c>
      <c r="D4" s="9" t="s">
        <v>0</v>
      </c>
      <c r="E4" s="9" t="s">
        <v>1</v>
      </c>
      <c r="F4" s="9" t="s">
        <v>5</v>
      </c>
      <c r="G4" s="9" t="s">
        <v>6</v>
      </c>
      <c r="H4" s="9" t="s">
        <v>2</v>
      </c>
      <c r="I4" s="10" t="s">
        <v>11</v>
      </c>
    </row>
    <row r="5" spans="1:19" ht="15.75" customHeight="1">
      <c r="A5" s="13">
        <v>40546</v>
      </c>
      <c r="B5" s="12">
        <v>45.15</v>
      </c>
      <c r="C5" s="3"/>
      <c r="D5" s="3"/>
      <c r="E5" s="3"/>
      <c r="F5" s="3"/>
      <c r="G5" s="3"/>
      <c r="H5" s="3"/>
      <c r="I5" s="3"/>
    </row>
    <row r="6" spans="1:19" ht="15.75" customHeight="1">
      <c r="A6" s="13">
        <v>40547</v>
      </c>
      <c r="B6" s="12">
        <v>46.26</v>
      </c>
      <c r="C6" s="3">
        <f t="shared" ref="C6:C37" si="0">B6-B5</f>
        <v>1.1099999999999994</v>
      </c>
      <c r="D6" s="3">
        <f t="shared" ref="D6:D37" si="1">IF(C6&gt;0,C6,0)</f>
        <v>1.1099999999999994</v>
      </c>
      <c r="E6" s="3">
        <f t="shared" ref="E6:E19" si="2">IF(C6&lt;0,-C6,0)</f>
        <v>0</v>
      </c>
      <c r="F6" s="3"/>
      <c r="G6" s="3"/>
      <c r="H6" s="3"/>
      <c r="I6" s="3"/>
      <c r="R6" s="12"/>
      <c r="S6" s="12"/>
    </row>
    <row r="7" spans="1:19" ht="15.75" customHeight="1">
      <c r="A7" s="13">
        <v>40548</v>
      </c>
      <c r="B7" s="12">
        <v>46.5</v>
      </c>
      <c r="C7" s="3">
        <f t="shared" si="0"/>
        <v>0.24000000000000199</v>
      </c>
      <c r="D7" s="3">
        <f t="shared" si="1"/>
        <v>0.24000000000000199</v>
      </c>
      <c r="E7" s="3">
        <f t="shared" si="2"/>
        <v>0</v>
      </c>
      <c r="F7" s="3"/>
      <c r="G7" s="3"/>
      <c r="H7" s="3"/>
      <c r="I7" s="3"/>
      <c r="R7" s="13"/>
      <c r="S7" s="12"/>
    </row>
    <row r="8" spans="1:19" ht="15.75" customHeight="1">
      <c r="A8" s="13">
        <v>40549</v>
      </c>
      <c r="B8" s="12">
        <v>46.23</v>
      </c>
      <c r="C8" s="3">
        <f t="shared" si="0"/>
        <v>-0.27000000000000313</v>
      </c>
      <c r="D8" s="3">
        <f t="shared" si="1"/>
        <v>0</v>
      </c>
      <c r="E8" s="3">
        <f t="shared" si="2"/>
        <v>0.27000000000000313</v>
      </c>
      <c r="F8" s="3"/>
      <c r="G8" s="3"/>
      <c r="H8" s="3"/>
      <c r="I8" s="3"/>
      <c r="R8" s="13"/>
      <c r="S8" s="12"/>
    </row>
    <row r="9" spans="1:19" ht="15.75" customHeight="1">
      <c r="A9" s="13">
        <v>40550</v>
      </c>
      <c r="B9" s="12">
        <v>46.08</v>
      </c>
      <c r="C9" s="3">
        <f t="shared" si="0"/>
        <v>-0.14999999999999858</v>
      </c>
      <c r="D9" s="3">
        <f t="shared" si="1"/>
        <v>0</v>
      </c>
      <c r="E9" s="3">
        <f t="shared" si="2"/>
        <v>0.14999999999999858</v>
      </c>
      <c r="F9" s="3"/>
      <c r="G9" s="3"/>
      <c r="H9" s="3"/>
      <c r="I9" s="3"/>
      <c r="R9" s="13"/>
      <c r="S9" s="12"/>
    </row>
    <row r="10" spans="1:19" ht="15.75" customHeight="1">
      <c r="A10" s="13">
        <v>40553</v>
      </c>
      <c r="B10" s="12">
        <v>46.03</v>
      </c>
      <c r="C10" s="3">
        <f t="shared" si="0"/>
        <v>-4.9999999999997158E-2</v>
      </c>
      <c r="D10" s="3">
        <f t="shared" si="1"/>
        <v>0</v>
      </c>
      <c r="E10" s="3">
        <f t="shared" si="2"/>
        <v>4.9999999999997158E-2</v>
      </c>
      <c r="F10" s="3"/>
      <c r="G10" s="3"/>
      <c r="H10" s="3"/>
      <c r="I10" s="3"/>
      <c r="R10" s="13"/>
      <c r="S10" s="12"/>
    </row>
    <row r="11" spans="1:19" ht="15.75" customHeight="1">
      <c r="A11" s="13">
        <v>40554</v>
      </c>
      <c r="B11" s="12">
        <v>46.83</v>
      </c>
      <c r="C11" s="3">
        <f t="shared" si="0"/>
        <v>0.79999999999999716</v>
      </c>
      <c r="D11" s="3">
        <f t="shared" si="1"/>
        <v>0.79999999999999716</v>
      </c>
      <c r="E11" s="3">
        <f t="shared" si="2"/>
        <v>0</v>
      </c>
      <c r="F11" s="3"/>
      <c r="G11" s="3"/>
      <c r="H11" s="3"/>
      <c r="I11" s="3"/>
      <c r="R11" s="13"/>
      <c r="S11" s="12"/>
    </row>
    <row r="12" spans="1:19" ht="15.75" customHeight="1">
      <c r="A12" s="13">
        <v>40555</v>
      </c>
      <c r="B12" s="12">
        <v>47.69</v>
      </c>
      <c r="C12" s="3">
        <f t="shared" si="0"/>
        <v>0.85999999999999943</v>
      </c>
      <c r="D12" s="3">
        <f t="shared" si="1"/>
        <v>0.85999999999999943</v>
      </c>
      <c r="E12" s="3">
        <f t="shared" si="2"/>
        <v>0</v>
      </c>
      <c r="F12" s="3"/>
      <c r="G12" s="3"/>
      <c r="H12" s="3"/>
      <c r="I12" s="3"/>
      <c r="R12" s="13"/>
      <c r="S12" s="12"/>
    </row>
    <row r="13" spans="1:19" ht="15.75" customHeight="1">
      <c r="A13" s="13">
        <v>40556</v>
      </c>
      <c r="B13" s="12">
        <v>47.54</v>
      </c>
      <c r="C13" s="3">
        <f t="shared" si="0"/>
        <v>-0.14999999999999858</v>
      </c>
      <c r="D13" s="3">
        <f t="shared" si="1"/>
        <v>0</v>
      </c>
      <c r="E13" s="3">
        <f t="shared" si="2"/>
        <v>0.14999999999999858</v>
      </c>
      <c r="F13" s="3"/>
      <c r="G13" s="3"/>
      <c r="H13" s="3"/>
      <c r="I13" s="3"/>
      <c r="R13" s="13"/>
      <c r="S13" s="12"/>
    </row>
    <row r="14" spans="1:19" ht="15.75" customHeight="1">
      <c r="A14" s="13">
        <v>40557</v>
      </c>
      <c r="B14" s="12">
        <v>49.25</v>
      </c>
      <c r="C14" s="3">
        <f t="shared" si="0"/>
        <v>1.7100000000000009</v>
      </c>
      <c r="D14" s="3">
        <f t="shared" si="1"/>
        <v>1.7100000000000009</v>
      </c>
      <c r="E14" s="3">
        <f t="shared" si="2"/>
        <v>0</v>
      </c>
      <c r="F14" s="3"/>
      <c r="G14" s="3"/>
      <c r="H14" s="3"/>
      <c r="I14" s="3"/>
      <c r="R14" s="13"/>
      <c r="S14" s="12"/>
    </row>
    <row r="15" spans="1:19" ht="15.75" customHeight="1">
      <c r="A15" s="13">
        <v>40561</v>
      </c>
      <c r="B15" s="12">
        <v>49.23</v>
      </c>
      <c r="C15" s="3">
        <f t="shared" si="0"/>
        <v>-2.0000000000003126E-2</v>
      </c>
      <c r="D15" s="3">
        <f t="shared" si="1"/>
        <v>0</v>
      </c>
      <c r="E15" s="3">
        <f t="shared" si="2"/>
        <v>2.0000000000003126E-2</v>
      </c>
      <c r="F15" s="3"/>
      <c r="G15" s="3"/>
      <c r="H15" s="3"/>
      <c r="I15" s="3"/>
      <c r="R15" s="13"/>
      <c r="S15" s="12"/>
    </row>
    <row r="16" spans="1:19" ht="15.75" customHeight="1">
      <c r="A16" s="13">
        <v>40562</v>
      </c>
      <c r="B16" s="12">
        <v>48.2</v>
      </c>
      <c r="C16" s="3">
        <f t="shared" si="0"/>
        <v>-1.029999999999994</v>
      </c>
      <c r="D16" s="3">
        <f t="shared" si="1"/>
        <v>0</v>
      </c>
      <c r="E16" s="3">
        <f t="shared" si="2"/>
        <v>1.029999999999994</v>
      </c>
      <c r="F16" s="3"/>
      <c r="G16" s="3"/>
      <c r="H16" s="3"/>
      <c r="I16" s="3"/>
      <c r="R16" s="13"/>
      <c r="S16" s="12"/>
    </row>
    <row r="17" spans="1:19" ht="15.75" customHeight="1">
      <c r="A17" s="13">
        <v>40563</v>
      </c>
      <c r="B17" s="12">
        <v>47.57</v>
      </c>
      <c r="C17" s="3">
        <f t="shared" si="0"/>
        <v>-0.63000000000000256</v>
      </c>
      <c r="D17" s="3">
        <f t="shared" si="1"/>
        <v>0</v>
      </c>
      <c r="E17" s="3">
        <f t="shared" si="2"/>
        <v>0.63000000000000256</v>
      </c>
      <c r="F17" s="3"/>
      <c r="G17" s="3"/>
      <c r="H17" s="3"/>
      <c r="I17" s="3"/>
      <c r="R17" s="13"/>
      <c r="S17" s="12"/>
    </row>
    <row r="18" spans="1:19" ht="15.75" customHeight="1">
      <c r="A18" s="13">
        <v>40564</v>
      </c>
      <c r="B18" s="12">
        <v>47.61</v>
      </c>
      <c r="C18" s="3">
        <f t="shared" si="0"/>
        <v>3.9999999999999147E-2</v>
      </c>
      <c r="D18" s="3">
        <f t="shared" si="1"/>
        <v>3.9999999999999147E-2</v>
      </c>
      <c r="E18" s="3">
        <f t="shared" si="2"/>
        <v>0</v>
      </c>
      <c r="F18" s="3"/>
      <c r="G18" s="3"/>
      <c r="H18" s="3"/>
      <c r="I18" s="3"/>
      <c r="R18" s="13"/>
      <c r="S18" s="12"/>
    </row>
    <row r="19" spans="1:19" ht="15.75" customHeight="1">
      <c r="A19" s="13">
        <v>40567</v>
      </c>
      <c r="B19" s="12">
        <v>48.08</v>
      </c>
      <c r="C19" s="3">
        <f t="shared" si="0"/>
        <v>0.46999999999999886</v>
      </c>
      <c r="D19" s="3">
        <f t="shared" si="1"/>
        <v>0.46999999999999886</v>
      </c>
      <c r="E19" s="3">
        <f t="shared" si="2"/>
        <v>0</v>
      </c>
      <c r="F19" s="3">
        <f>(SUM(D6:D19)/14)</f>
        <v>0.37357142857142833</v>
      </c>
      <c r="G19" s="3">
        <f>SUM(E6:E19)/14</f>
        <v>0.16428571428571409</v>
      </c>
      <c r="H19" s="3">
        <f>F19/G19</f>
        <v>2.2739130434782622</v>
      </c>
      <c r="I19" s="3">
        <f>IF(G19=0,100,100-(100/(1+H19)))</f>
        <v>69.455511288180617</v>
      </c>
      <c r="J19" s="7"/>
      <c r="R19" s="13"/>
      <c r="S19" s="12"/>
    </row>
    <row r="20" spans="1:19" ht="15.75" customHeight="1">
      <c r="A20" s="13">
        <v>40568</v>
      </c>
      <c r="B20" s="12">
        <v>47.21</v>
      </c>
      <c r="C20" s="3">
        <f t="shared" si="0"/>
        <v>-0.86999999999999744</v>
      </c>
      <c r="D20" s="3">
        <f t="shared" si="1"/>
        <v>0</v>
      </c>
      <c r="E20" s="3">
        <f t="shared" ref="E20:E26" si="3">IF(C20&lt;0,-C20,0)</f>
        <v>0.86999999999999744</v>
      </c>
      <c r="F20" s="3">
        <f>((F19*13)+D20)/14</f>
        <v>0.34688775510204062</v>
      </c>
      <c r="G20" s="3">
        <f>((G19*13)+E20)/14</f>
        <v>0.21469387755102004</v>
      </c>
      <c r="H20" s="3">
        <f t="shared" ref="H20:H26" si="4">F20/G20</f>
        <v>1.6157319391634999</v>
      </c>
      <c r="I20" s="3">
        <f t="shared" ref="I20:I26" si="5">IF(G20=0,100,100-(100/(1+H20)))</f>
        <v>61.769782865449287</v>
      </c>
      <c r="J20" s="7"/>
      <c r="R20" s="13"/>
      <c r="S20" s="12"/>
    </row>
    <row r="21" spans="1:19" ht="15.75" customHeight="1">
      <c r="A21" s="13">
        <v>40569</v>
      </c>
      <c r="B21" s="12">
        <v>46.76</v>
      </c>
      <c r="C21" s="3">
        <f t="shared" si="0"/>
        <v>-0.45000000000000284</v>
      </c>
      <c r="D21" s="3">
        <f t="shared" si="1"/>
        <v>0</v>
      </c>
      <c r="E21" s="3">
        <f t="shared" si="3"/>
        <v>0.45000000000000284</v>
      </c>
      <c r="F21" s="3">
        <f t="shared" ref="F21:F30" si="6">((F20*13)+D21)/14</f>
        <v>0.32211005830903766</v>
      </c>
      <c r="G21" s="3">
        <f t="shared" ref="G21:G30" si="7">((G20*13)+E21)/14</f>
        <v>0.23150145772594738</v>
      </c>
      <c r="H21" s="3">
        <f t="shared" si="4"/>
        <v>1.391395378124803</v>
      </c>
      <c r="I21" s="3">
        <f t="shared" si="5"/>
        <v>58.183410022973973</v>
      </c>
      <c r="J21" s="7"/>
      <c r="R21" s="13"/>
      <c r="S21" s="12"/>
    </row>
    <row r="22" spans="1:19" ht="15.75" customHeight="1">
      <c r="A22" s="13">
        <v>40570</v>
      </c>
      <c r="B22" s="12">
        <v>46.68</v>
      </c>
      <c r="C22" s="3">
        <f t="shared" si="0"/>
        <v>-7.9999999999998295E-2</v>
      </c>
      <c r="D22" s="3">
        <f t="shared" si="1"/>
        <v>0</v>
      </c>
      <c r="E22" s="3">
        <f t="shared" si="3"/>
        <v>7.9999999999998295E-2</v>
      </c>
      <c r="F22" s="3">
        <f t="shared" si="6"/>
        <v>0.29910219700124924</v>
      </c>
      <c r="G22" s="3">
        <f t="shared" si="7"/>
        <v>0.22067992503123673</v>
      </c>
      <c r="H22" s="3">
        <f t="shared" si="4"/>
        <v>1.3553665878711532</v>
      </c>
      <c r="I22" s="3">
        <f t="shared" si="5"/>
        <v>57.543763881620301</v>
      </c>
      <c r="J22" s="7"/>
      <c r="R22" s="13"/>
      <c r="S22" s="12"/>
    </row>
    <row r="23" spans="1:19" ht="15.75" customHeight="1">
      <c r="A23" s="13">
        <v>40571</v>
      </c>
      <c r="B23" s="12">
        <v>46.21</v>
      </c>
      <c r="C23" s="3">
        <f t="shared" si="0"/>
        <v>-0.46999999999999886</v>
      </c>
      <c r="D23" s="3">
        <f t="shared" si="1"/>
        <v>0</v>
      </c>
      <c r="E23" s="3">
        <f t="shared" si="3"/>
        <v>0.46999999999999886</v>
      </c>
      <c r="F23" s="3">
        <f t="shared" si="6"/>
        <v>0.27773775435830289</v>
      </c>
      <c r="G23" s="3">
        <f t="shared" si="7"/>
        <v>0.23848850181471976</v>
      </c>
      <c r="H23" s="3">
        <f t="shared" si="4"/>
        <v>1.1645750308502321</v>
      </c>
      <c r="I23" s="3">
        <f t="shared" si="5"/>
        <v>53.801555236123825</v>
      </c>
      <c r="J23" s="7"/>
      <c r="R23" s="13"/>
      <c r="S23" s="12"/>
    </row>
    <row r="24" spans="1:19" ht="15.75" customHeight="1">
      <c r="A24" s="13">
        <v>40574</v>
      </c>
      <c r="B24" s="12">
        <v>47.47</v>
      </c>
      <c r="C24" s="3">
        <f t="shared" si="0"/>
        <v>1.259999999999998</v>
      </c>
      <c r="D24" s="3">
        <f t="shared" si="1"/>
        <v>1.259999999999998</v>
      </c>
      <c r="E24" s="3">
        <f t="shared" si="3"/>
        <v>0</v>
      </c>
      <c r="F24" s="3">
        <f t="shared" si="6"/>
        <v>0.34789934333270967</v>
      </c>
      <c r="G24" s="3">
        <f t="shared" si="7"/>
        <v>0.22145360882795403</v>
      </c>
      <c r="H24" s="3">
        <f t="shared" si="4"/>
        <v>1.5709806906013917</v>
      </c>
      <c r="I24" s="3">
        <f t="shared" si="5"/>
        <v>61.104336424787199</v>
      </c>
      <c r="J24" s="7"/>
      <c r="R24" s="13"/>
      <c r="S24" s="12"/>
    </row>
    <row r="25" spans="1:19" ht="15.75" customHeight="1">
      <c r="A25" s="13">
        <v>40575</v>
      </c>
      <c r="B25" s="12">
        <v>47.98</v>
      </c>
      <c r="C25" s="3">
        <f t="shared" si="0"/>
        <v>0.50999999999999801</v>
      </c>
      <c r="D25" s="3">
        <f t="shared" si="1"/>
        <v>0.50999999999999801</v>
      </c>
      <c r="E25" s="3">
        <f t="shared" si="3"/>
        <v>0</v>
      </c>
      <c r="F25" s="3">
        <f t="shared" si="6"/>
        <v>0.35947796166608736</v>
      </c>
      <c r="G25" s="3">
        <f t="shared" si="7"/>
        <v>0.2056354939116716</v>
      </c>
      <c r="H25" s="3">
        <f t="shared" si="4"/>
        <v>1.7481318756211273</v>
      </c>
      <c r="I25" s="3">
        <f t="shared" si="5"/>
        <v>63.61164437299859</v>
      </c>
      <c r="J25" s="7"/>
      <c r="R25" s="13"/>
      <c r="S25" s="12"/>
    </row>
    <row r="26" spans="1:19" ht="15.75" customHeight="1">
      <c r="A26" s="13">
        <v>40576</v>
      </c>
      <c r="B26" s="12">
        <v>47.13</v>
      </c>
      <c r="C26" s="3">
        <f t="shared" si="0"/>
        <v>-0.84999999999999432</v>
      </c>
      <c r="D26" s="3">
        <f t="shared" si="1"/>
        <v>0</v>
      </c>
      <c r="E26" s="3">
        <f t="shared" si="3"/>
        <v>0.84999999999999432</v>
      </c>
      <c r="F26" s="3">
        <f t="shared" si="6"/>
        <v>0.33380096440422402</v>
      </c>
      <c r="G26" s="3">
        <f t="shared" si="7"/>
        <v>0.25166153006083752</v>
      </c>
      <c r="H26" s="3">
        <f t="shared" si="4"/>
        <v>1.3263885200234213</v>
      </c>
      <c r="I26" s="3">
        <f t="shared" si="5"/>
        <v>57.014918557544625</v>
      </c>
      <c r="J26" s="7"/>
      <c r="R26" s="13"/>
      <c r="S26" s="12"/>
    </row>
    <row r="27" spans="1:19" ht="15.75" customHeight="1">
      <c r="A27" s="13">
        <v>40577</v>
      </c>
      <c r="B27" s="12">
        <v>46.58</v>
      </c>
      <c r="C27" s="3">
        <f t="shared" si="0"/>
        <v>-0.55000000000000426</v>
      </c>
      <c r="D27" s="3">
        <f t="shared" si="1"/>
        <v>0</v>
      </c>
      <c r="E27" s="3">
        <f t="shared" ref="E27:E37" si="8">IF(C27&lt;0,-C27,0)</f>
        <v>0.55000000000000426</v>
      </c>
      <c r="F27" s="3">
        <f t="shared" si="6"/>
        <v>0.30995803837535085</v>
      </c>
      <c r="G27" s="3">
        <f t="shared" si="7"/>
        <v>0.27297142077077802</v>
      </c>
      <c r="H27" s="3">
        <f t="shared" ref="H27:H37" si="9">F27/G27</f>
        <v>1.1354963003091505</v>
      </c>
      <c r="I27" s="3">
        <f t="shared" ref="I27:I37" si="10">IF(G27=0,100,100-(100/(1+H27)))</f>
        <v>53.172477992341527</v>
      </c>
      <c r="J27" s="7"/>
      <c r="R27" s="13"/>
      <c r="S27" s="12"/>
    </row>
    <row r="28" spans="1:19" ht="15.75" customHeight="1">
      <c r="A28" s="13">
        <v>40578</v>
      </c>
      <c r="B28" s="12">
        <v>46.03</v>
      </c>
      <c r="C28" s="3">
        <f t="shared" si="0"/>
        <v>-0.54999999999999716</v>
      </c>
      <c r="D28" s="3">
        <f t="shared" si="1"/>
        <v>0</v>
      </c>
      <c r="E28" s="3">
        <f t="shared" si="8"/>
        <v>0.54999999999999716</v>
      </c>
      <c r="F28" s="3">
        <f t="shared" si="6"/>
        <v>0.28781817849139724</v>
      </c>
      <c r="G28" s="3">
        <f t="shared" si="7"/>
        <v>0.29275917643000798</v>
      </c>
      <c r="H28" s="3">
        <f t="shared" si="9"/>
        <v>0.98312265392032205</v>
      </c>
      <c r="I28" s="3">
        <f t="shared" si="10"/>
        <v>49.574475485761965</v>
      </c>
      <c r="J28" s="7"/>
      <c r="R28" s="13"/>
      <c r="S28" s="12"/>
    </row>
    <row r="29" spans="1:19" ht="15.75" customHeight="1">
      <c r="A29" s="13">
        <v>40581</v>
      </c>
      <c r="B29" s="12">
        <v>46.54</v>
      </c>
      <c r="C29" s="3">
        <f t="shared" si="0"/>
        <v>0.50999999999999801</v>
      </c>
      <c r="D29" s="3">
        <f t="shared" si="1"/>
        <v>0.50999999999999801</v>
      </c>
      <c r="E29" s="3">
        <f t="shared" si="8"/>
        <v>0</v>
      </c>
      <c r="F29" s="3">
        <f t="shared" si="6"/>
        <v>0.30368830859915441</v>
      </c>
      <c r="G29" s="3">
        <f t="shared" si="7"/>
        <v>0.27184780668500741</v>
      </c>
      <c r="H29" s="3">
        <f t="shared" si="9"/>
        <v>1.1171262049248052</v>
      </c>
      <c r="I29" s="3">
        <f t="shared" si="10"/>
        <v>52.766160199905634</v>
      </c>
      <c r="J29" s="7"/>
      <c r="R29" s="13"/>
      <c r="S29" s="12"/>
    </row>
    <row r="30" spans="1:19" ht="15.75" customHeight="1">
      <c r="A30" s="13">
        <v>40582</v>
      </c>
      <c r="B30" s="12">
        <v>46.79</v>
      </c>
      <c r="C30" s="3">
        <f t="shared" si="0"/>
        <v>0.25</v>
      </c>
      <c r="D30" s="3">
        <f t="shared" si="1"/>
        <v>0.25</v>
      </c>
      <c r="E30" s="3">
        <f t="shared" si="8"/>
        <v>0</v>
      </c>
      <c r="F30" s="3">
        <f t="shared" si="6"/>
        <v>0.29985342941350052</v>
      </c>
      <c r="G30" s="3">
        <f t="shared" si="7"/>
        <v>0.25243010620750689</v>
      </c>
      <c r="H30" s="3">
        <f t="shared" si="9"/>
        <v>1.1878671443691027</v>
      </c>
      <c r="I30" s="3">
        <f t="shared" si="10"/>
        <v>54.293385566226334</v>
      </c>
      <c r="J30" s="7"/>
      <c r="R30" s="13"/>
      <c r="S30" s="12"/>
    </row>
    <row r="31" spans="1:19" ht="15.75" customHeight="1">
      <c r="A31" s="13">
        <v>40583</v>
      </c>
      <c r="B31" s="12">
        <v>45.83</v>
      </c>
      <c r="C31" s="3">
        <f t="shared" si="0"/>
        <v>-0.96000000000000085</v>
      </c>
      <c r="D31" s="3">
        <f t="shared" si="1"/>
        <v>0</v>
      </c>
      <c r="E31" s="3">
        <f t="shared" si="8"/>
        <v>0.96000000000000085</v>
      </c>
      <c r="F31" s="3">
        <f>((F30*13)+D31)/14</f>
        <v>0.27843532731253623</v>
      </c>
      <c r="G31" s="3">
        <f>((G30*13)+E31)/14</f>
        <v>0.30297081290697075</v>
      </c>
      <c r="H31" s="3">
        <f t="shared" si="9"/>
        <v>0.91901699916563151</v>
      </c>
      <c r="I31" s="3">
        <f t="shared" si="10"/>
        <v>47.889987403197082</v>
      </c>
      <c r="J31" s="7"/>
      <c r="R31" s="13"/>
      <c r="S31" s="12"/>
    </row>
    <row r="32" spans="1:19" ht="15.75" customHeight="1">
      <c r="A32" s="13">
        <v>40584</v>
      </c>
      <c r="B32" s="12">
        <v>45.93</v>
      </c>
      <c r="C32" s="3">
        <f t="shared" si="0"/>
        <v>0.10000000000000142</v>
      </c>
      <c r="D32" s="3">
        <f t="shared" si="1"/>
        <v>0.10000000000000142</v>
      </c>
      <c r="E32" s="3">
        <f t="shared" si="8"/>
        <v>0</v>
      </c>
      <c r="F32" s="3">
        <f t="shared" ref="F32:F37" si="11">((F31*13)+D32)/14</f>
        <v>0.26568994679021235</v>
      </c>
      <c r="G32" s="3">
        <f t="shared" ref="G32:G37" si="12">((G31*13)+E32)/14</f>
        <v>0.28133004055647282</v>
      </c>
      <c r="H32" s="3">
        <f t="shared" si="9"/>
        <v>0.94440659897064583</v>
      </c>
      <c r="I32" s="3">
        <f t="shared" si="10"/>
        <v>48.5704275777817</v>
      </c>
      <c r="J32" s="7"/>
      <c r="R32" s="13"/>
      <c r="S32" s="12"/>
    </row>
    <row r="33" spans="1:19" ht="15.75" customHeight="1">
      <c r="A33" s="13">
        <v>40585</v>
      </c>
      <c r="B33" s="12">
        <v>45.8</v>
      </c>
      <c r="C33" s="3">
        <f t="shared" si="0"/>
        <v>-0.13000000000000256</v>
      </c>
      <c r="D33" s="3">
        <f t="shared" si="1"/>
        <v>0</v>
      </c>
      <c r="E33" s="3">
        <f t="shared" si="8"/>
        <v>0.13000000000000256</v>
      </c>
      <c r="F33" s="3">
        <f t="shared" si="11"/>
        <v>0.24671209344805431</v>
      </c>
      <c r="G33" s="3">
        <f t="shared" si="12"/>
        <v>0.2705207519452964</v>
      </c>
      <c r="H33" s="3">
        <f t="shared" si="9"/>
        <v>0.91198953009691253</v>
      </c>
      <c r="I33" s="3">
        <f t="shared" si="10"/>
        <v>47.69845837234719</v>
      </c>
      <c r="J33" s="7"/>
      <c r="R33" s="13"/>
      <c r="S33" s="12"/>
    </row>
    <row r="34" spans="1:19" ht="15.75" customHeight="1">
      <c r="A34" s="13">
        <v>40588</v>
      </c>
      <c r="B34" s="12">
        <v>46.69</v>
      </c>
      <c r="C34" s="3">
        <f t="shared" si="0"/>
        <v>0.89000000000000057</v>
      </c>
      <c r="D34" s="3">
        <f t="shared" si="1"/>
        <v>0.89000000000000057</v>
      </c>
      <c r="E34" s="3">
        <f t="shared" si="8"/>
        <v>0</v>
      </c>
      <c r="F34" s="3">
        <f t="shared" si="11"/>
        <v>0.29266122963033619</v>
      </c>
      <c r="G34" s="3">
        <f t="shared" si="12"/>
        <v>0.25119784109206095</v>
      </c>
      <c r="H34" s="3">
        <f t="shared" si="9"/>
        <v>1.1650626787157754</v>
      </c>
      <c r="I34" s="3">
        <f t="shared" si="10"/>
        <v>53.811960742256289</v>
      </c>
      <c r="J34" s="7"/>
      <c r="R34" s="13"/>
      <c r="S34" s="12"/>
    </row>
    <row r="35" spans="1:19" ht="15.75" customHeight="1">
      <c r="A35" s="13">
        <v>40589</v>
      </c>
      <c r="B35" s="12">
        <v>47.05</v>
      </c>
      <c r="C35" s="3">
        <f t="shared" si="0"/>
        <v>0.35999999999999943</v>
      </c>
      <c r="D35" s="3">
        <f t="shared" si="1"/>
        <v>0.35999999999999943</v>
      </c>
      <c r="E35" s="3">
        <f t="shared" si="8"/>
        <v>0</v>
      </c>
      <c r="F35" s="3">
        <f t="shared" si="11"/>
        <v>0.29747114179959783</v>
      </c>
      <c r="G35" s="3">
        <f t="shared" si="12"/>
        <v>0.23325513815691373</v>
      </c>
      <c r="H35" s="3">
        <f t="shared" si="9"/>
        <v>1.2753037045618483</v>
      </c>
      <c r="I35" s="3">
        <f t="shared" si="10"/>
        <v>56.049823239198368</v>
      </c>
      <c r="J35" s="7"/>
      <c r="R35" s="13"/>
      <c r="S35" s="12"/>
    </row>
    <row r="36" spans="1:19" ht="15.75" customHeight="1">
      <c r="A36" s="13">
        <v>40590</v>
      </c>
      <c r="B36" s="12">
        <v>47.3</v>
      </c>
      <c r="C36" s="3">
        <f t="shared" si="0"/>
        <v>0.25</v>
      </c>
      <c r="D36" s="3">
        <f t="shared" si="1"/>
        <v>0.25</v>
      </c>
      <c r="E36" s="3">
        <f t="shared" si="8"/>
        <v>0</v>
      </c>
      <c r="F36" s="3">
        <f t="shared" si="11"/>
        <v>0.29408034595676941</v>
      </c>
      <c r="G36" s="3">
        <f t="shared" si="12"/>
        <v>0.21659405685999134</v>
      </c>
      <c r="H36" s="3">
        <f t="shared" si="9"/>
        <v>1.3577489161988687</v>
      </c>
      <c r="I36" s="3">
        <f t="shared" si="10"/>
        <v>57.586662721822535</v>
      </c>
      <c r="J36" s="7"/>
      <c r="R36" s="13"/>
      <c r="S36" s="12"/>
    </row>
    <row r="37" spans="1:19" ht="15.75" customHeight="1">
      <c r="A37" s="13">
        <v>40591</v>
      </c>
      <c r="B37" s="12">
        <v>48.1</v>
      </c>
      <c r="C37" s="3">
        <f t="shared" si="0"/>
        <v>0.80000000000000426</v>
      </c>
      <c r="D37" s="3">
        <f t="shared" si="1"/>
        <v>0.80000000000000426</v>
      </c>
      <c r="E37" s="3">
        <f t="shared" si="8"/>
        <v>0</v>
      </c>
      <c r="F37" s="3">
        <f t="shared" si="11"/>
        <v>0.33021746410271474</v>
      </c>
      <c r="G37" s="3">
        <f t="shared" si="12"/>
        <v>0.20112305279856338</v>
      </c>
      <c r="H37" s="3">
        <f t="shared" si="9"/>
        <v>1.6418677993787567</v>
      </c>
      <c r="I37" s="3">
        <f t="shared" si="10"/>
        <v>62.147992407676377</v>
      </c>
      <c r="R37" s="13"/>
      <c r="S37" s="12"/>
    </row>
    <row r="38" spans="1:19" ht="15.75" customHeight="1">
      <c r="A38" s="13">
        <v>40592</v>
      </c>
      <c r="B38" s="12">
        <v>47.93</v>
      </c>
      <c r="C38" s="3">
        <f t="shared" ref="C38:C101" si="13">B38-B37</f>
        <v>-0.17000000000000171</v>
      </c>
      <c r="D38" s="3">
        <f t="shared" ref="D38:D101" si="14">IF(C38&gt;0,C38,0)</f>
        <v>0</v>
      </c>
      <c r="E38" s="3">
        <f t="shared" ref="E38:E101" si="15">IF(C38&lt;0,-C38,0)</f>
        <v>0.17000000000000171</v>
      </c>
      <c r="F38" s="3">
        <f t="shared" ref="F38:F101" si="16">((F37*13)+D38)/14</f>
        <v>0.3066305023810923</v>
      </c>
      <c r="G38" s="3">
        <f t="shared" ref="G38:G101" si="17">((G37*13)+E38)/14</f>
        <v>0.19889997759866612</v>
      </c>
      <c r="H38" s="3">
        <f t="shared" ref="H38:H101" si="18">F38/G38</f>
        <v>1.5416316587013463</v>
      </c>
      <c r="I38" s="3">
        <f t="shared" ref="I38:I101" si="19">IF(G38=0,100,100-(100/(1+H38)))</f>
        <v>60.655195784311537</v>
      </c>
      <c r="R38" s="13"/>
      <c r="S38" s="12"/>
    </row>
    <row r="39" spans="1:19" ht="15.75" customHeight="1">
      <c r="A39" s="13">
        <v>40596</v>
      </c>
      <c r="B39" s="12">
        <v>47.03</v>
      </c>
      <c r="C39" s="3">
        <f t="shared" si="13"/>
        <v>-0.89999999999999858</v>
      </c>
      <c r="D39" s="3">
        <f t="shared" si="14"/>
        <v>0</v>
      </c>
      <c r="E39" s="3">
        <f t="shared" si="15"/>
        <v>0.89999999999999858</v>
      </c>
      <c r="F39" s="3">
        <f t="shared" si="16"/>
        <v>0.28472832363958572</v>
      </c>
      <c r="G39" s="3">
        <f t="shared" si="17"/>
        <v>0.24897855062733273</v>
      </c>
      <c r="H39" s="3">
        <f t="shared" si="18"/>
        <v>1.1435857543638877</v>
      </c>
      <c r="I39" s="3">
        <f t="shared" si="19"/>
        <v>53.34919547938722</v>
      </c>
      <c r="R39" s="13"/>
      <c r="S39" s="12"/>
    </row>
    <row r="40" spans="1:19" ht="15.75" customHeight="1">
      <c r="A40" s="13">
        <v>40597</v>
      </c>
      <c r="B40" s="12">
        <v>47.58</v>
      </c>
      <c r="C40" s="3">
        <f t="shared" si="13"/>
        <v>0.54999999999999716</v>
      </c>
      <c r="D40" s="3">
        <f t="shared" si="14"/>
        <v>0.54999999999999716</v>
      </c>
      <c r="E40" s="3">
        <f t="shared" si="15"/>
        <v>0</v>
      </c>
      <c r="F40" s="3">
        <f t="shared" si="16"/>
        <v>0.30367630052247224</v>
      </c>
      <c r="G40" s="3">
        <f t="shared" si="17"/>
        <v>0.23119436843966609</v>
      </c>
      <c r="H40" s="3">
        <f t="shared" si="18"/>
        <v>1.3135108029316964</v>
      </c>
      <c r="I40" s="3">
        <f t="shared" si="19"/>
        <v>56.775650291634975</v>
      </c>
      <c r="R40" s="13"/>
      <c r="S40" s="12"/>
    </row>
    <row r="41" spans="1:19" ht="15.75" customHeight="1">
      <c r="A41" s="13">
        <v>40598</v>
      </c>
      <c r="B41" s="12">
        <v>47.38</v>
      </c>
      <c r="C41" s="3">
        <f t="shared" si="13"/>
        <v>-0.19999999999999574</v>
      </c>
      <c r="D41" s="3">
        <f t="shared" si="14"/>
        <v>0</v>
      </c>
      <c r="E41" s="3">
        <f t="shared" si="15"/>
        <v>0.19999999999999574</v>
      </c>
      <c r="F41" s="3">
        <f t="shared" si="16"/>
        <v>0.28198513619943849</v>
      </c>
      <c r="G41" s="3">
        <f t="shared" si="17"/>
        <v>0.22896619926540393</v>
      </c>
      <c r="H41" s="3">
        <f t="shared" si="18"/>
        <v>1.2315579203573981</v>
      </c>
      <c r="I41" s="3">
        <f t="shared" si="19"/>
        <v>55.188257007470199</v>
      </c>
      <c r="R41" s="13"/>
      <c r="S41" s="12"/>
    </row>
    <row r="42" spans="1:19" ht="15.75" customHeight="1">
      <c r="A42" s="13">
        <v>40599</v>
      </c>
      <c r="B42" s="12">
        <v>48.1</v>
      </c>
      <c r="C42" s="3">
        <f t="shared" si="13"/>
        <v>0.71999999999999886</v>
      </c>
      <c r="D42" s="3">
        <f t="shared" si="14"/>
        <v>0.71999999999999886</v>
      </c>
      <c r="E42" s="3">
        <f t="shared" si="15"/>
        <v>0</v>
      </c>
      <c r="F42" s="3">
        <f t="shared" si="16"/>
        <v>0.31327191218519285</v>
      </c>
      <c r="G42" s="3">
        <f t="shared" si="17"/>
        <v>0.21261147074644651</v>
      </c>
      <c r="H42" s="3">
        <f t="shared" si="18"/>
        <v>1.4734478393162083</v>
      </c>
      <c r="I42" s="3">
        <f t="shared" si="19"/>
        <v>59.570604881789102</v>
      </c>
      <c r="R42" s="13"/>
      <c r="S42" s="12"/>
    </row>
    <row r="43" spans="1:19" ht="15.75" customHeight="1">
      <c r="A43" s="13">
        <v>40602</v>
      </c>
      <c r="B43" s="12">
        <v>48.47</v>
      </c>
      <c r="C43" s="3">
        <f t="shared" si="13"/>
        <v>0.36999999999999744</v>
      </c>
      <c r="D43" s="3">
        <f t="shared" si="14"/>
        <v>0.36999999999999744</v>
      </c>
      <c r="E43" s="3">
        <f t="shared" si="15"/>
        <v>0</v>
      </c>
      <c r="F43" s="3">
        <f t="shared" si="16"/>
        <v>0.31732391845767888</v>
      </c>
      <c r="G43" s="3">
        <f t="shared" si="17"/>
        <v>0.19742493712170034</v>
      </c>
      <c r="H43" s="3">
        <f t="shared" si="18"/>
        <v>1.6073142688254634</v>
      </c>
      <c r="I43" s="3">
        <f t="shared" si="19"/>
        <v>61.64635725134594</v>
      </c>
      <c r="R43" s="13"/>
      <c r="S43" s="12"/>
    </row>
    <row r="44" spans="1:19" ht="15.75" customHeight="1">
      <c r="A44" s="13">
        <v>40603</v>
      </c>
      <c r="B44" s="12">
        <v>47.6</v>
      </c>
      <c r="C44" s="3">
        <f t="shared" si="13"/>
        <v>-0.86999999999999744</v>
      </c>
      <c r="D44" s="3">
        <f t="shared" si="14"/>
        <v>0</v>
      </c>
      <c r="E44" s="3">
        <f t="shared" si="15"/>
        <v>0.86999999999999744</v>
      </c>
      <c r="F44" s="3">
        <f t="shared" si="16"/>
        <v>0.29465792428213039</v>
      </c>
      <c r="G44" s="3">
        <f t="shared" si="17"/>
        <v>0.2454660130415787</v>
      </c>
      <c r="H44" s="3">
        <f t="shared" si="18"/>
        <v>1.2004021274921641</v>
      </c>
      <c r="I44" s="3">
        <f t="shared" si="19"/>
        <v>54.553761446335393</v>
      </c>
      <c r="R44" s="13"/>
      <c r="S44" s="12"/>
    </row>
    <row r="45" spans="1:19" ht="15.75" customHeight="1">
      <c r="A45" s="13">
        <v>40604</v>
      </c>
      <c r="B45" s="12">
        <v>47.74</v>
      </c>
      <c r="C45" s="3">
        <f t="shared" si="13"/>
        <v>0.14000000000000057</v>
      </c>
      <c r="D45" s="3">
        <f t="shared" si="14"/>
        <v>0.14000000000000057</v>
      </c>
      <c r="E45" s="3">
        <f t="shared" si="15"/>
        <v>0</v>
      </c>
      <c r="F45" s="3">
        <f t="shared" si="16"/>
        <v>0.28361092969054968</v>
      </c>
      <c r="G45" s="3">
        <f t="shared" si="17"/>
        <v>0.22793272639575163</v>
      </c>
      <c r="H45" s="3">
        <f t="shared" si="18"/>
        <v>1.2442747216480268</v>
      </c>
      <c r="I45" s="3">
        <f t="shared" si="19"/>
        <v>55.442175133279797</v>
      </c>
      <c r="R45" s="13"/>
      <c r="S45" s="12"/>
    </row>
    <row r="46" spans="1:19" ht="15.75" customHeight="1">
      <c r="A46" s="13">
        <v>40605</v>
      </c>
      <c r="B46" s="12">
        <v>48.21</v>
      </c>
      <c r="C46" s="3">
        <f t="shared" si="13"/>
        <v>0.46999999999999886</v>
      </c>
      <c r="D46" s="3">
        <f t="shared" si="14"/>
        <v>0.46999999999999886</v>
      </c>
      <c r="E46" s="3">
        <f t="shared" si="15"/>
        <v>0</v>
      </c>
      <c r="F46" s="3">
        <f t="shared" si="16"/>
        <v>0.29692443471265317</v>
      </c>
      <c r="G46" s="3">
        <f t="shared" si="17"/>
        <v>0.21165181736748367</v>
      </c>
      <c r="H46" s="3">
        <f t="shared" si="18"/>
        <v>1.4028910235961434</v>
      </c>
      <c r="I46" s="3">
        <f t="shared" si="19"/>
        <v>58.383464327757579</v>
      </c>
      <c r="R46" s="13"/>
      <c r="S46" s="12"/>
    </row>
    <row r="47" spans="1:19" ht="15.75" customHeight="1">
      <c r="A47" s="13">
        <v>40606</v>
      </c>
      <c r="B47" s="12">
        <v>48.56</v>
      </c>
      <c r="C47" s="3">
        <f t="shared" si="13"/>
        <v>0.35000000000000142</v>
      </c>
      <c r="D47" s="3">
        <f t="shared" si="14"/>
        <v>0.35000000000000142</v>
      </c>
      <c r="E47" s="3">
        <f t="shared" si="15"/>
        <v>0</v>
      </c>
      <c r="F47" s="3">
        <f t="shared" si="16"/>
        <v>0.30071554651889232</v>
      </c>
      <c r="G47" s="3">
        <f t="shared" si="17"/>
        <v>0.1965338304126634</v>
      </c>
      <c r="H47" s="3">
        <f t="shared" si="18"/>
        <v>1.5300955865332593</v>
      </c>
      <c r="I47" s="3">
        <f t="shared" si="19"/>
        <v>60.475801573560254</v>
      </c>
      <c r="R47" s="13"/>
      <c r="S47" s="12"/>
    </row>
    <row r="48" spans="1:19" ht="15.75" customHeight="1">
      <c r="A48" s="13">
        <v>40609</v>
      </c>
      <c r="B48" s="12">
        <v>48.15</v>
      </c>
      <c r="C48" s="3">
        <f t="shared" si="13"/>
        <v>-0.41000000000000369</v>
      </c>
      <c r="D48" s="3">
        <f t="shared" si="14"/>
        <v>0</v>
      </c>
      <c r="E48" s="3">
        <f t="shared" si="15"/>
        <v>0.41000000000000369</v>
      </c>
      <c r="F48" s="3">
        <f t="shared" si="16"/>
        <v>0.27923586462468569</v>
      </c>
      <c r="G48" s="3">
        <f t="shared" si="17"/>
        <v>0.21178141395461628</v>
      </c>
      <c r="H48" s="3">
        <f t="shared" si="18"/>
        <v>1.3185097757658968</v>
      </c>
      <c r="I48" s="3">
        <f t="shared" si="19"/>
        <v>56.868846944168695</v>
      </c>
      <c r="R48" s="13"/>
      <c r="S48" s="12"/>
    </row>
    <row r="49" spans="1:19" ht="15.75" customHeight="1">
      <c r="A49" s="13">
        <v>40610</v>
      </c>
      <c r="B49" s="12">
        <v>47.81</v>
      </c>
      <c r="C49" s="3">
        <f t="shared" si="13"/>
        <v>-0.33999999999999631</v>
      </c>
      <c r="D49" s="3">
        <f t="shared" si="14"/>
        <v>0</v>
      </c>
      <c r="E49" s="3">
        <f t="shared" si="15"/>
        <v>0.33999999999999631</v>
      </c>
      <c r="F49" s="3">
        <f t="shared" si="16"/>
        <v>0.25929044572292242</v>
      </c>
      <c r="G49" s="3">
        <f t="shared" si="17"/>
        <v>0.22093988438642914</v>
      </c>
      <c r="H49" s="3">
        <f t="shared" si="18"/>
        <v>1.1735791681207601</v>
      </c>
      <c r="I49" s="3">
        <f t="shared" si="19"/>
        <v>53.992934112237414</v>
      </c>
      <c r="R49" s="13"/>
      <c r="S49" s="12"/>
    </row>
    <row r="50" spans="1:19" ht="15.75" customHeight="1">
      <c r="A50" s="13">
        <v>40611</v>
      </c>
      <c r="B50" s="12">
        <v>47.41</v>
      </c>
      <c r="C50" s="3">
        <f t="shared" si="13"/>
        <v>-0.40000000000000568</v>
      </c>
      <c r="D50" s="3">
        <f t="shared" si="14"/>
        <v>0</v>
      </c>
      <c r="E50" s="3">
        <f t="shared" si="15"/>
        <v>0.40000000000000568</v>
      </c>
      <c r="F50" s="3">
        <f t="shared" si="16"/>
        <v>0.24076969959985653</v>
      </c>
      <c r="G50" s="3">
        <f t="shared" si="17"/>
        <v>0.23372989264454175</v>
      </c>
      <c r="H50" s="3">
        <f t="shared" si="18"/>
        <v>1.0301194120942885</v>
      </c>
      <c r="I50" s="3">
        <f t="shared" si="19"/>
        <v>50.741813804519438</v>
      </c>
      <c r="R50" s="13"/>
      <c r="S50" s="12"/>
    </row>
    <row r="51" spans="1:19" ht="15.75" customHeight="1">
      <c r="A51" s="13">
        <v>40612</v>
      </c>
      <c r="B51" s="12">
        <v>45.66</v>
      </c>
      <c r="C51" s="3">
        <f t="shared" si="13"/>
        <v>-1.75</v>
      </c>
      <c r="D51" s="3">
        <f t="shared" si="14"/>
        <v>0</v>
      </c>
      <c r="E51" s="3">
        <f t="shared" si="15"/>
        <v>1.75</v>
      </c>
      <c r="F51" s="3">
        <f t="shared" si="16"/>
        <v>0.22357186391415249</v>
      </c>
      <c r="G51" s="3">
        <f t="shared" si="17"/>
        <v>0.34203490031278877</v>
      </c>
      <c r="H51" s="3">
        <f t="shared" si="18"/>
        <v>0.65365219663168117</v>
      </c>
      <c r="I51" s="3">
        <f t="shared" si="19"/>
        <v>39.527791754705326</v>
      </c>
      <c r="R51" s="13"/>
      <c r="S51" s="12"/>
    </row>
    <row r="52" spans="1:19" ht="15.75" customHeight="1">
      <c r="A52" s="13">
        <v>40613</v>
      </c>
      <c r="B52" s="12">
        <v>45.75</v>
      </c>
      <c r="C52" s="3">
        <f t="shared" si="13"/>
        <v>9.0000000000003411E-2</v>
      </c>
      <c r="D52" s="3">
        <f t="shared" si="14"/>
        <v>9.0000000000003411E-2</v>
      </c>
      <c r="E52" s="3">
        <f t="shared" si="15"/>
        <v>0</v>
      </c>
      <c r="F52" s="3">
        <f t="shared" si="16"/>
        <v>0.21403101649171324</v>
      </c>
      <c r="G52" s="3">
        <f t="shared" si="17"/>
        <v>0.31760383600473246</v>
      </c>
      <c r="H52" s="3">
        <f t="shared" si="18"/>
        <v>0.67389304607934286</v>
      </c>
      <c r="I52" s="3">
        <f t="shared" si="19"/>
        <v>40.25902656431731</v>
      </c>
      <c r="R52" s="13"/>
      <c r="S52" s="12"/>
    </row>
    <row r="53" spans="1:19" ht="15.75" customHeight="1">
      <c r="A53" s="13">
        <v>40616</v>
      </c>
      <c r="B53" s="12">
        <v>45.07</v>
      </c>
      <c r="C53" s="3">
        <f t="shared" si="13"/>
        <v>-0.67999999999999972</v>
      </c>
      <c r="D53" s="3">
        <f t="shared" si="14"/>
        <v>0</v>
      </c>
      <c r="E53" s="3">
        <f t="shared" si="15"/>
        <v>0.67999999999999972</v>
      </c>
      <c r="F53" s="3">
        <f t="shared" si="16"/>
        <v>0.19874308674230518</v>
      </c>
      <c r="G53" s="3">
        <f t="shared" si="17"/>
        <v>0.34348927629010867</v>
      </c>
      <c r="H53" s="3">
        <f t="shared" si="18"/>
        <v>0.57860055745800965</v>
      </c>
      <c r="I53" s="3">
        <f t="shared" si="19"/>
        <v>36.652752637419511</v>
      </c>
      <c r="R53" s="13"/>
      <c r="S53" s="12"/>
    </row>
    <row r="54" spans="1:19" ht="15.75" customHeight="1">
      <c r="A54" s="13">
        <v>40617</v>
      </c>
      <c r="B54" s="12">
        <v>43.77</v>
      </c>
      <c r="C54" s="3">
        <f t="shared" si="13"/>
        <v>-1.2999999999999972</v>
      </c>
      <c r="D54" s="3">
        <f t="shared" si="14"/>
        <v>0</v>
      </c>
      <c r="E54" s="3">
        <f t="shared" si="15"/>
        <v>1.2999999999999972</v>
      </c>
      <c r="F54" s="3">
        <f t="shared" si="16"/>
        <v>0.18454715197499766</v>
      </c>
      <c r="G54" s="3">
        <f t="shared" si="17"/>
        <v>0.41181147084081499</v>
      </c>
      <c r="H54" s="3">
        <f t="shared" si="18"/>
        <v>0.44813504489857703</v>
      </c>
      <c r="I54" s="3">
        <f t="shared" si="19"/>
        <v>30.945666737176651</v>
      </c>
      <c r="R54" s="13"/>
      <c r="S54" s="12"/>
    </row>
    <row r="55" spans="1:19" ht="15.75" customHeight="1">
      <c r="A55" s="13">
        <v>40618</v>
      </c>
      <c r="B55" s="12">
        <v>43.25</v>
      </c>
      <c r="C55" s="3">
        <f t="shared" si="13"/>
        <v>-0.52000000000000313</v>
      </c>
      <c r="D55" s="3">
        <f t="shared" si="14"/>
        <v>0</v>
      </c>
      <c r="E55" s="3">
        <f t="shared" si="15"/>
        <v>0.52000000000000313</v>
      </c>
      <c r="F55" s="3">
        <f t="shared" si="16"/>
        <v>0.1713652125482121</v>
      </c>
      <c r="G55" s="3">
        <f t="shared" si="17"/>
        <v>0.41953922292361412</v>
      </c>
      <c r="H55" s="3">
        <f t="shared" si="18"/>
        <v>0.40846052808610156</v>
      </c>
      <c r="I55" s="3">
        <f t="shared" si="19"/>
        <v>29.000495217366264</v>
      </c>
      <c r="R55" s="13"/>
      <c r="S55" s="12"/>
    </row>
    <row r="56" spans="1:19" ht="15.75" customHeight="1">
      <c r="A56" s="13">
        <v>40619</v>
      </c>
      <c r="B56" s="12">
        <v>44.68</v>
      </c>
      <c r="C56" s="3">
        <f t="shared" si="13"/>
        <v>1.4299999999999997</v>
      </c>
      <c r="D56" s="3">
        <f t="shared" si="14"/>
        <v>1.4299999999999997</v>
      </c>
      <c r="E56" s="3">
        <f t="shared" si="15"/>
        <v>0</v>
      </c>
      <c r="F56" s="3">
        <f t="shared" si="16"/>
        <v>0.26126769736619693</v>
      </c>
      <c r="G56" s="3">
        <f t="shared" si="17"/>
        <v>0.38957213557192738</v>
      </c>
      <c r="H56" s="3">
        <f t="shared" si="18"/>
        <v>0.67065293821035776</v>
      </c>
      <c r="I56" s="3">
        <f t="shared" si="19"/>
        <v>40.143163362749469</v>
      </c>
      <c r="R56" s="13"/>
      <c r="S56" s="12"/>
    </row>
    <row r="57" spans="1:19" ht="15.75" customHeight="1">
      <c r="A57" s="13">
        <v>40620</v>
      </c>
      <c r="B57" s="12">
        <v>45.11</v>
      </c>
      <c r="C57" s="3">
        <f t="shared" si="13"/>
        <v>0.42999999999999972</v>
      </c>
      <c r="D57" s="3">
        <f t="shared" si="14"/>
        <v>0.42999999999999972</v>
      </c>
      <c r="E57" s="3">
        <f t="shared" si="15"/>
        <v>0</v>
      </c>
      <c r="F57" s="3">
        <f t="shared" si="16"/>
        <v>0.27332000469718282</v>
      </c>
      <c r="G57" s="3">
        <f t="shared" si="17"/>
        <v>0.3617455544596469</v>
      </c>
      <c r="H57" s="3">
        <f t="shared" si="18"/>
        <v>0.75555871061208013</v>
      </c>
      <c r="I57" s="3">
        <f t="shared" si="19"/>
        <v>43.038077054606312</v>
      </c>
      <c r="R57" s="13"/>
      <c r="S57" s="12"/>
    </row>
    <row r="58" spans="1:19" ht="15.75" customHeight="1">
      <c r="A58" s="13">
        <v>40623</v>
      </c>
      <c r="B58" s="12">
        <v>45.8</v>
      </c>
      <c r="C58" s="3">
        <f t="shared" si="13"/>
        <v>0.68999999999999773</v>
      </c>
      <c r="D58" s="3">
        <f t="shared" si="14"/>
        <v>0.68999999999999773</v>
      </c>
      <c r="E58" s="3">
        <f t="shared" si="15"/>
        <v>0</v>
      </c>
      <c r="F58" s="3">
        <f t="shared" si="16"/>
        <v>0.30308286150452673</v>
      </c>
      <c r="G58" s="3">
        <f t="shared" si="17"/>
        <v>0.33590658628395786</v>
      </c>
      <c r="H58" s="3">
        <f t="shared" si="18"/>
        <v>0.90228317597892027</v>
      </c>
      <c r="I58" s="3">
        <f t="shared" si="19"/>
        <v>47.431591015076016</v>
      </c>
      <c r="R58" s="13"/>
      <c r="S58" s="12"/>
    </row>
    <row r="59" spans="1:19" ht="15.75" customHeight="1">
      <c r="A59" s="13">
        <v>40624</v>
      </c>
      <c r="B59" s="12">
        <v>45.74</v>
      </c>
      <c r="C59" s="3">
        <f t="shared" si="13"/>
        <v>-5.9999999999995168E-2</v>
      </c>
      <c r="D59" s="3">
        <f t="shared" si="14"/>
        <v>0</v>
      </c>
      <c r="E59" s="3">
        <f t="shared" si="15"/>
        <v>5.9999999999995168E-2</v>
      </c>
      <c r="F59" s="3">
        <f t="shared" si="16"/>
        <v>0.28143408568277484</v>
      </c>
      <c r="G59" s="3">
        <f t="shared" si="17"/>
        <v>0.31619897297796051</v>
      </c>
      <c r="H59" s="3">
        <f t="shared" si="18"/>
        <v>0.89005376276915094</v>
      </c>
      <c r="I59" s="3">
        <f t="shared" si="19"/>
        <v>47.091452121717296</v>
      </c>
      <c r="R59" s="13"/>
      <c r="S59" s="12"/>
    </row>
    <row r="60" spans="1:19" ht="15.75" customHeight="1">
      <c r="A60" s="13">
        <v>40625</v>
      </c>
      <c r="B60" s="12">
        <v>46.23</v>
      </c>
      <c r="C60" s="3">
        <f t="shared" si="13"/>
        <v>0.48999999999999488</v>
      </c>
      <c r="D60" s="3">
        <f t="shared" si="14"/>
        <v>0.48999999999999488</v>
      </c>
      <c r="E60" s="3">
        <f t="shared" si="15"/>
        <v>0</v>
      </c>
      <c r="F60" s="3">
        <f t="shared" si="16"/>
        <v>0.29633165099114767</v>
      </c>
      <c r="G60" s="3">
        <f t="shared" si="17"/>
        <v>0.29361333205096335</v>
      </c>
      <c r="H60" s="3">
        <f t="shared" si="18"/>
        <v>1.0092581590937857</v>
      </c>
      <c r="I60" s="3">
        <f t="shared" si="19"/>
        <v>50.230387495302281</v>
      </c>
      <c r="R60" s="13"/>
      <c r="S60" s="12"/>
    </row>
    <row r="61" spans="1:19" ht="15.75" customHeight="1">
      <c r="A61" s="13">
        <v>40626</v>
      </c>
      <c r="B61" s="12">
        <v>46.81</v>
      </c>
      <c r="C61" s="3">
        <f t="shared" si="13"/>
        <v>0.5800000000000054</v>
      </c>
      <c r="D61" s="3">
        <f t="shared" si="14"/>
        <v>0.5800000000000054</v>
      </c>
      <c r="E61" s="3">
        <f t="shared" si="15"/>
        <v>0</v>
      </c>
      <c r="F61" s="3">
        <f t="shared" si="16"/>
        <v>0.31659367592035181</v>
      </c>
      <c r="G61" s="3">
        <f t="shared" si="17"/>
        <v>0.27264095119018028</v>
      </c>
      <c r="H61" s="3">
        <f t="shared" si="18"/>
        <v>1.1612110159471691</v>
      </c>
      <c r="I61" s="3">
        <f t="shared" si="19"/>
        <v>53.729645433916993</v>
      </c>
      <c r="R61" s="13"/>
      <c r="S61" s="12"/>
    </row>
    <row r="62" spans="1:19" ht="15.75" customHeight="1">
      <c r="A62" s="13">
        <v>40627</v>
      </c>
      <c r="B62" s="12">
        <v>46.87</v>
      </c>
      <c r="C62" s="3">
        <f t="shared" si="13"/>
        <v>5.9999999999995168E-2</v>
      </c>
      <c r="D62" s="3">
        <f t="shared" si="14"/>
        <v>5.9999999999995168E-2</v>
      </c>
      <c r="E62" s="3">
        <f t="shared" si="15"/>
        <v>0</v>
      </c>
      <c r="F62" s="3">
        <f t="shared" si="16"/>
        <v>0.29826555621175493</v>
      </c>
      <c r="G62" s="3">
        <f t="shared" si="17"/>
        <v>0.25316659753373882</v>
      </c>
      <c r="H62" s="3">
        <f t="shared" si="18"/>
        <v>1.1781394509281813</v>
      </c>
      <c r="I62" s="3">
        <f t="shared" si="19"/>
        <v>54.089257252382758</v>
      </c>
      <c r="R62" s="13"/>
      <c r="S62" s="12"/>
    </row>
    <row r="63" spans="1:19" ht="15.75" customHeight="1">
      <c r="A63" s="13">
        <v>40630</v>
      </c>
      <c r="B63" s="12">
        <v>46.04</v>
      </c>
      <c r="C63" s="3">
        <f t="shared" si="13"/>
        <v>-0.82999999999999829</v>
      </c>
      <c r="D63" s="3">
        <f t="shared" si="14"/>
        <v>0</v>
      </c>
      <c r="E63" s="3">
        <f t="shared" si="15"/>
        <v>0.82999999999999829</v>
      </c>
      <c r="F63" s="3">
        <f t="shared" si="16"/>
        <v>0.276960873625201</v>
      </c>
      <c r="G63" s="3">
        <f t="shared" si="17"/>
        <v>0.29436898342418594</v>
      </c>
      <c r="H63" s="3">
        <f t="shared" si="18"/>
        <v>0.94086296186341123</v>
      </c>
      <c r="I63" s="3">
        <f t="shared" si="19"/>
        <v>48.476527212415562</v>
      </c>
      <c r="R63" s="13"/>
      <c r="S63" s="12"/>
    </row>
    <row r="64" spans="1:19" ht="15.75" customHeight="1">
      <c r="A64" s="13">
        <v>40631</v>
      </c>
      <c r="B64" s="12">
        <v>44.78</v>
      </c>
      <c r="C64" s="3">
        <f t="shared" si="13"/>
        <v>-1.259999999999998</v>
      </c>
      <c r="D64" s="3">
        <f t="shared" si="14"/>
        <v>0</v>
      </c>
      <c r="E64" s="3">
        <f t="shared" si="15"/>
        <v>1.259999999999998</v>
      </c>
      <c r="F64" s="3">
        <f t="shared" si="16"/>
        <v>0.25717795408054378</v>
      </c>
      <c r="G64" s="3">
        <f t="shared" si="17"/>
        <v>0.36334262746531543</v>
      </c>
      <c r="H64" s="3">
        <f t="shared" si="18"/>
        <v>0.70781112547850966</v>
      </c>
      <c r="I64" s="3">
        <f t="shared" si="19"/>
        <v>41.445515544360269</v>
      </c>
      <c r="R64" s="13"/>
      <c r="S64" s="12"/>
    </row>
    <row r="65" spans="1:19" ht="15.75" customHeight="1">
      <c r="A65" s="13">
        <v>40632</v>
      </c>
      <c r="B65" s="12">
        <v>44.58</v>
      </c>
      <c r="C65" s="3">
        <f t="shared" si="13"/>
        <v>-0.20000000000000284</v>
      </c>
      <c r="D65" s="3">
        <f t="shared" si="14"/>
        <v>0</v>
      </c>
      <c r="E65" s="3">
        <f t="shared" si="15"/>
        <v>0.20000000000000284</v>
      </c>
      <c r="F65" s="3">
        <f t="shared" si="16"/>
        <v>0.23880810021764781</v>
      </c>
      <c r="G65" s="3">
        <f t="shared" si="17"/>
        <v>0.35167529693207877</v>
      </c>
      <c r="H65" s="3">
        <f t="shared" si="18"/>
        <v>0.67905850169444881</v>
      </c>
      <c r="I65" s="3">
        <f t="shared" si="19"/>
        <v>40.442813696435593</v>
      </c>
      <c r="R65" s="13"/>
      <c r="S65" s="12"/>
    </row>
    <row r="66" spans="1:19" ht="15.75" customHeight="1">
      <c r="A66" s="13">
        <v>40633</v>
      </c>
      <c r="B66" s="12">
        <v>44.14</v>
      </c>
      <c r="C66" s="3">
        <f t="shared" si="13"/>
        <v>-0.43999999999999773</v>
      </c>
      <c r="D66" s="3">
        <f t="shared" si="14"/>
        <v>0</v>
      </c>
      <c r="E66" s="3">
        <f t="shared" si="15"/>
        <v>0.43999999999999773</v>
      </c>
      <c r="F66" s="3">
        <f t="shared" si="16"/>
        <v>0.22175037877353013</v>
      </c>
      <c r="G66" s="3">
        <f t="shared" si="17"/>
        <v>0.35798420429407296</v>
      </c>
      <c r="H66" s="3">
        <f t="shared" si="18"/>
        <v>0.61944179691059509</v>
      </c>
      <c r="I66" s="3">
        <f t="shared" si="19"/>
        <v>38.250327865583223</v>
      </c>
      <c r="R66" s="13"/>
      <c r="S66" s="12"/>
    </row>
    <row r="67" spans="1:19" ht="15.75" customHeight="1">
      <c r="A67" s="13">
        <v>40634</v>
      </c>
      <c r="B67" s="12">
        <v>45.66</v>
      </c>
      <c r="C67" s="3">
        <f t="shared" si="13"/>
        <v>1.519999999999996</v>
      </c>
      <c r="D67" s="3">
        <f t="shared" si="14"/>
        <v>1.519999999999996</v>
      </c>
      <c r="E67" s="3">
        <f t="shared" si="15"/>
        <v>0</v>
      </c>
      <c r="F67" s="3">
        <f t="shared" si="16"/>
        <v>0.31448249457542055</v>
      </c>
      <c r="G67" s="3">
        <f t="shared" si="17"/>
        <v>0.33241390398735343</v>
      </c>
      <c r="H67" s="3">
        <f t="shared" si="18"/>
        <v>0.94605698138121475</v>
      </c>
      <c r="I67" s="3">
        <f t="shared" si="19"/>
        <v>48.614043187458492</v>
      </c>
      <c r="R67" s="13"/>
      <c r="S67" s="12"/>
    </row>
    <row r="68" spans="1:19" ht="15.75" customHeight="1">
      <c r="A68" s="13">
        <v>40637</v>
      </c>
      <c r="B68" s="12">
        <v>45.89</v>
      </c>
      <c r="C68" s="3">
        <f t="shared" si="13"/>
        <v>0.23000000000000398</v>
      </c>
      <c r="D68" s="3">
        <f t="shared" si="14"/>
        <v>0.23000000000000398</v>
      </c>
      <c r="E68" s="3">
        <f t="shared" si="15"/>
        <v>0</v>
      </c>
      <c r="F68" s="3">
        <f t="shared" si="16"/>
        <v>0.30844803067717652</v>
      </c>
      <c r="G68" s="3">
        <f t="shared" si="17"/>
        <v>0.30867005370254247</v>
      </c>
      <c r="H68" s="3">
        <f t="shared" si="18"/>
        <v>0.99928071083442416</v>
      </c>
      <c r="I68" s="3">
        <f t="shared" si="19"/>
        <v>49.982011301322572</v>
      </c>
      <c r="R68" s="13"/>
      <c r="S68" s="12"/>
    </row>
    <row r="69" spans="1:19" ht="15.75" customHeight="1">
      <c r="A69" s="13">
        <v>40638</v>
      </c>
      <c r="B69" s="12">
        <v>46.73</v>
      </c>
      <c r="C69" s="3">
        <f t="shared" si="13"/>
        <v>0.83999999999999631</v>
      </c>
      <c r="D69" s="3">
        <f t="shared" si="14"/>
        <v>0.83999999999999631</v>
      </c>
      <c r="E69" s="3">
        <f t="shared" si="15"/>
        <v>0</v>
      </c>
      <c r="F69" s="3">
        <f t="shared" si="16"/>
        <v>0.34641602848594932</v>
      </c>
      <c r="G69" s="3">
        <f t="shared" si="17"/>
        <v>0.28662219272378942</v>
      </c>
      <c r="H69" s="3">
        <f t="shared" si="18"/>
        <v>1.208615512964768</v>
      </c>
      <c r="I69" s="3">
        <f t="shared" si="19"/>
        <v>54.722766632312791</v>
      </c>
      <c r="R69" s="13"/>
      <c r="S69" s="12"/>
    </row>
    <row r="70" spans="1:19" ht="15.75" customHeight="1">
      <c r="A70" s="13">
        <v>40639</v>
      </c>
      <c r="B70" s="12">
        <v>46.86</v>
      </c>
      <c r="C70" s="3">
        <f t="shared" si="13"/>
        <v>0.13000000000000256</v>
      </c>
      <c r="D70" s="3">
        <f t="shared" si="14"/>
        <v>0.13000000000000256</v>
      </c>
      <c r="E70" s="3">
        <f t="shared" si="15"/>
        <v>0</v>
      </c>
      <c r="F70" s="3">
        <f t="shared" si="16"/>
        <v>0.33095774073695317</v>
      </c>
      <c r="G70" s="3">
        <f t="shared" si="17"/>
        <v>0.26614917895780443</v>
      </c>
      <c r="H70" s="3">
        <f t="shared" si="18"/>
        <v>1.2435046466531596</v>
      </c>
      <c r="I70" s="3">
        <f t="shared" si="19"/>
        <v>55.426880818286193</v>
      </c>
      <c r="R70" s="13"/>
      <c r="S70" s="12"/>
    </row>
    <row r="71" spans="1:19" ht="15.75" customHeight="1">
      <c r="A71" s="13">
        <v>40640</v>
      </c>
      <c r="B71" s="12">
        <v>46.95</v>
      </c>
      <c r="C71" s="3">
        <f t="shared" si="13"/>
        <v>9.0000000000003411E-2</v>
      </c>
      <c r="D71" s="3">
        <f t="shared" si="14"/>
        <v>9.0000000000003411E-2</v>
      </c>
      <c r="E71" s="3">
        <f t="shared" si="15"/>
        <v>0</v>
      </c>
      <c r="F71" s="3">
        <f t="shared" si="16"/>
        <v>0.31374647354145674</v>
      </c>
      <c r="G71" s="3">
        <f t="shared" si="17"/>
        <v>0.24713852331796127</v>
      </c>
      <c r="H71" s="3">
        <f t="shared" si="18"/>
        <v>1.2695166634859254</v>
      </c>
      <c r="I71" s="3">
        <f t="shared" si="19"/>
        <v>55.937754673101935</v>
      </c>
      <c r="R71" s="13"/>
      <c r="S71" s="12"/>
    </row>
    <row r="72" spans="1:19" ht="15.75" customHeight="1">
      <c r="A72" s="13">
        <v>40641</v>
      </c>
      <c r="B72" s="12">
        <v>46.74</v>
      </c>
      <c r="C72" s="3">
        <f t="shared" si="13"/>
        <v>-0.21000000000000085</v>
      </c>
      <c r="D72" s="3">
        <f t="shared" si="14"/>
        <v>0</v>
      </c>
      <c r="E72" s="3">
        <f t="shared" si="15"/>
        <v>0.21000000000000085</v>
      </c>
      <c r="F72" s="3">
        <f t="shared" si="16"/>
        <v>0.2913360111456384</v>
      </c>
      <c r="G72" s="3">
        <f t="shared" si="17"/>
        <v>0.24448577165239266</v>
      </c>
      <c r="H72" s="3">
        <f t="shared" si="18"/>
        <v>1.1916276729586412</v>
      </c>
      <c r="I72" s="3">
        <f t="shared" si="19"/>
        <v>54.371811766273893</v>
      </c>
      <c r="R72" s="13"/>
      <c r="S72" s="12"/>
    </row>
    <row r="73" spans="1:19" ht="15.75" customHeight="1">
      <c r="A73" s="13">
        <v>40644</v>
      </c>
      <c r="B73" s="12">
        <v>46.67</v>
      </c>
      <c r="C73" s="3">
        <f t="shared" si="13"/>
        <v>-7.0000000000000284E-2</v>
      </c>
      <c r="D73" s="3">
        <f t="shared" si="14"/>
        <v>0</v>
      </c>
      <c r="E73" s="3">
        <f t="shared" si="15"/>
        <v>7.0000000000000284E-2</v>
      </c>
      <c r="F73" s="3">
        <f t="shared" si="16"/>
        <v>0.27052629606380707</v>
      </c>
      <c r="G73" s="3">
        <f t="shared" si="17"/>
        <v>0.23202250224865034</v>
      </c>
      <c r="H73" s="3">
        <f t="shared" si="18"/>
        <v>1.1659485327586614</v>
      </c>
      <c r="I73" s="3">
        <f t="shared" si="19"/>
        <v>53.830851247127768</v>
      </c>
      <c r="R73" s="13"/>
      <c r="S73" s="12"/>
    </row>
    <row r="74" spans="1:19" ht="15.75" customHeight="1">
      <c r="A74" s="13">
        <v>40645</v>
      </c>
      <c r="B74" s="12">
        <v>45.3</v>
      </c>
      <c r="C74" s="3">
        <f t="shared" si="13"/>
        <v>-1.3700000000000045</v>
      </c>
      <c r="D74" s="3">
        <f t="shared" si="14"/>
        <v>0</v>
      </c>
      <c r="E74" s="3">
        <f t="shared" si="15"/>
        <v>1.3700000000000045</v>
      </c>
      <c r="F74" s="3">
        <f t="shared" si="16"/>
        <v>0.25120298920210654</v>
      </c>
      <c r="G74" s="3">
        <f t="shared" si="17"/>
        <v>0.31330660923088993</v>
      </c>
      <c r="H74" s="3">
        <f t="shared" si="18"/>
        <v>0.80178005123723262</v>
      </c>
      <c r="I74" s="3">
        <f t="shared" si="19"/>
        <v>44.499330020147156</v>
      </c>
      <c r="R74" s="13"/>
      <c r="S74" s="12"/>
    </row>
    <row r="75" spans="1:19" ht="15.75" customHeight="1">
      <c r="A75" s="13">
        <v>40646</v>
      </c>
      <c r="B75" s="12">
        <v>45.4</v>
      </c>
      <c r="C75" s="3">
        <f t="shared" si="13"/>
        <v>0.10000000000000142</v>
      </c>
      <c r="D75" s="3">
        <f t="shared" si="14"/>
        <v>0.10000000000000142</v>
      </c>
      <c r="E75" s="3">
        <f t="shared" si="15"/>
        <v>0</v>
      </c>
      <c r="F75" s="3">
        <f t="shared" si="16"/>
        <v>0.24040277568767046</v>
      </c>
      <c r="G75" s="3">
        <f t="shared" si="17"/>
        <v>0.29092756571439782</v>
      </c>
      <c r="H75" s="3">
        <f t="shared" si="18"/>
        <v>0.82633206343764865</v>
      </c>
      <c r="I75" s="3">
        <f t="shared" si="19"/>
        <v>45.245444680102111</v>
      </c>
      <c r="R75" s="13"/>
      <c r="S75" s="12"/>
    </row>
    <row r="76" spans="1:19" ht="15.75" customHeight="1">
      <c r="A76" s="13">
        <v>40647</v>
      </c>
      <c r="B76" s="12">
        <v>45.54</v>
      </c>
      <c r="C76" s="3">
        <f t="shared" si="13"/>
        <v>0.14000000000000057</v>
      </c>
      <c r="D76" s="3">
        <f t="shared" si="14"/>
        <v>0.14000000000000057</v>
      </c>
      <c r="E76" s="3">
        <f t="shared" si="15"/>
        <v>0</v>
      </c>
      <c r="F76" s="3">
        <f t="shared" si="16"/>
        <v>0.23323114885283691</v>
      </c>
      <c r="G76" s="3">
        <f t="shared" si="17"/>
        <v>0.27014702530622653</v>
      </c>
      <c r="H76" s="3">
        <f t="shared" si="18"/>
        <v>0.86334894337058332</v>
      </c>
      <c r="I76" s="3">
        <f t="shared" si="19"/>
        <v>46.333186623053251</v>
      </c>
      <c r="R76" s="13"/>
      <c r="S76" s="12"/>
    </row>
    <row r="77" spans="1:19" ht="15.75" customHeight="1">
      <c r="A77" s="13">
        <v>40648</v>
      </c>
      <c r="B77" s="12">
        <v>44.96</v>
      </c>
      <c r="C77" s="3">
        <f t="shared" si="13"/>
        <v>-0.57999999999999829</v>
      </c>
      <c r="D77" s="3">
        <f t="shared" si="14"/>
        <v>0</v>
      </c>
      <c r="E77" s="3">
        <f t="shared" si="15"/>
        <v>0.57999999999999829</v>
      </c>
      <c r="F77" s="3">
        <f t="shared" si="16"/>
        <v>0.21657178107763425</v>
      </c>
      <c r="G77" s="3">
        <f t="shared" si="17"/>
        <v>0.29227938064149594</v>
      </c>
      <c r="H77" s="3">
        <f t="shared" si="18"/>
        <v>0.74097522925600035</v>
      </c>
      <c r="I77" s="3">
        <f t="shared" si="19"/>
        <v>42.560928886544438</v>
      </c>
      <c r="R77" s="13"/>
      <c r="S77" s="12"/>
    </row>
    <row r="78" spans="1:19" ht="15.75" customHeight="1">
      <c r="A78" s="13">
        <v>40651</v>
      </c>
      <c r="B78" s="12">
        <v>44.47</v>
      </c>
      <c r="C78" s="3">
        <f t="shared" si="13"/>
        <v>-0.49000000000000199</v>
      </c>
      <c r="D78" s="3">
        <f t="shared" si="14"/>
        <v>0</v>
      </c>
      <c r="E78" s="3">
        <f t="shared" si="15"/>
        <v>0.49000000000000199</v>
      </c>
      <c r="F78" s="3">
        <f t="shared" si="16"/>
        <v>0.20110236814351753</v>
      </c>
      <c r="G78" s="3">
        <f t="shared" si="17"/>
        <v>0.30640228202424641</v>
      </c>
      <c r="H78" s="3">
        <f t="shared" si="18"/>
        <v>0.65633443333037511</v>
      </c>
      <c r="I78" s="3">
        <f t="shared" si="19"/>
        <v>39.625719306619139</v>
      </c>
      <c r="R78" s="13"/>
      <c r="S78" s="12"/>
    </row>
    <row r="79" spans="1:19" ht="15.75" customHeight="1">
      <c r="A79" s="13">
        <v>40652</v>
      </c>
      <c r="B79" s="12">
        <v>44.68</v>
      </c>
      <c r="C79" s="3">
        <f t="shared" si="13"/>
        <v>0.21000000000000085</v>
      </c>
      <c r="D79" s="3">
        <f t="shared" si="14"/>
        <v>0.21000000000000085</v>
      </c>
      <c r="E79" s="3">
        <f t="shared" si="15"/>
        <v>0</v>
      </c>
      <c r="F79" s="3">
        <f t="shared" si="16"/>
        <v>0.20173791327612348</v>
      </c>
      <c r="G79" s="3">
        <f t="shared" si="17"/>
        <v>0.28451640473680023</v>
      </c>
      <c r="H79" s="3">
        <f t="shared" si="18"/>
        <v>0.7090554706775053</v>
      </c>
      <c r="I79" s="3">
        <f t="shared" si="19"/>
        <v>41.488148444732509</v>
      </c>
      <c r="R79" s="13"/>
      <c r="S79" s="12"/>
    </row>
    <row r="80" spans="1:19" ht="15.75" customHeight="1">
      <c r="A80" s="13">
        <v>40653</v>
      </c>
      <c r="B80" s="12">
        <v>45.91</v>
      </c>
      <c r="C80" s="3">
        <f t="shared" si="13"/>
        <v>1.2299999999999969</v>
      </c>
      <c r="D80" s="3">
        <f t="shared" si="14"/>
        <v>1.2299999999999969</v>
      </c>
      <c r="E80" s="3">
        <f t="shared" si="15"/>
        <v>0</v>
      </c>
      <c r="F80" s="3">
        <f t="shared" si="16"/>
        <v>0.27518520518497158</v>
      </c>
      <c r="G80" s="3">
        <f t="shared" si="17"/>
        <v>0.26419380439845735</v>
      </c>
      <c r="H80" s="3">
        <f t="shared" si="18"/>
        <v>1.0416035524055551</v>
      </c>
      <c r="I80" s="3">
        <f t="shared" si="19"/>
        <v>51.018894005071047</v>
      </c>
      <c r="R80" s="13"/>
      <c r="S80" s="12"/>
    </row>
    <row r="81" spans="1:19" ht="15.75" customHeight="1">
      <c r="A81" s="13">
        <v>40654</v>
      </c>
      <c r="B81" s="12">
        <v>46.03</v>
      </c>
      <c r="C81" s="3">
        <f t="shared" si="13"/>
        <v>0.12000000000000455</v>
      </c>
      <c r="D81" s="3">
        <f t="shared" si="14"/>
        <v>0.12000000000000455</v>
      </c>
      <c r="E81" s="3">
        <f t="shared" si="15"/>
        <v>0</v>
      </c>
      <c r="F81" s="3">
        <f t="shared" si="16"/>
        <v>0.26410054767175967</v>
      </c>
      <c r="G81" s="3">
        <f t="shared" si="17"/>
        <v>0.24532281836999612</v>
      </c>
      <c r="H81" s="3">
        <f t="shared" si="18"/>
        <v>1.0765429381030629</v>
      </c>
      <c r="I81" s="3">
        <f t="shared" si="19"/>
        <v>51.843037692564771</v>
      </c>
      <c r="R81" s="13"/>
      <c r="S81" s="12"/>
    </row>
    <row r="82" spans="1:19" ht="15.75" customHeight="1">
      <c r="A82" s="13">
        <v>40658</v>
      </c>
      <c r="B82" s="12">
        <v>45.98</v>
      </c>
      <c r="C82" s="3">
        <f t="shared" si="13"/>
        <v>-5.0000000000004263E-2</v>
      </c>
      <c r="D82" s="3">
        <f t="shared" si="14"/>
        <v>0</v>
      </c>
      <c r="E82" s="3">
        <f t="shared" si="15"/>
        <v>5.0000000000004263E-2</v>
      </c>
      <c r="F82" s="3">
        <f t="shared" si="16"/>
        <v>0.24523622283806254</v>
      </c>
      <c r="G82" s="3">
        <f t="shared" si="17"/>
        <v>0.23137118848642527</v>
      </c>
      <c r="H82" s="3">
        <f t="shared" si="18"/>
        <v>1.0599255008470976</v>
      </c>
      <c r="I82" s="3">
        <f t="shared" si="19"/>
        <v>51.454555051200998</v>
      </c>
      <c r="R82" s="13"/>
      <c r="S82" s="12"/>
    </row>
    <row r="83" spans="1:19" ht="15.75" customHeight="1">
      <c r="A83" s="13">
        <v>40659</v>
      </c>
      <c r="B83" s="12">
        <v>46.32</v>
      </c>
      <c r="C83" s="3">
        <f t="shared" si="13"/>
        <v>0.34000000000000341</v>
      </c>
      <c r="D83" s="3">
        <f t="shared" si="14"/>
        <v>0.34000000000000341</v>
      </c>
      <c r="E83" s="3">
        <f t="shared" si="15"/>
        <v>0</v>
      </c>
      <c r="F83" s="3">
        <f t="shared" si="16"/>
        <v>0.25200506406391543</v>
      </c>
      <c r="G83" s="3">
        <f t="shared" si="17"/>
        <v>0.21484467502310919</v>
      </c>
      <c r="H83" s="3">
        <f t="shared" si="18"/>
        <v>1.1729639751918877</v>
      </c>
      <c r="I83" s="3">
        <f t="shared" si="19"/>
        <v>53.979908943879607</v>
      </c>
      <c r="R83" s="13"/>
      <c r="S83" s="12"/>
    </row>
    <row r="84" spans="1:19" ht="15.75" customHeight="1">
      <c r="A84" s="13">
        <v>40660</v>
      </c>
      <c r="B84" s="12">
        <v>46.53</v>
      </c>
      <c r="C84" s="3">
        <f t="shared" si="13"/>
        <v>0.21000000000000085</v>
      </c>
      <c r="D84" s="3">
        <f t="shared" si="14"/>
        <v>0.21000000000000085</v>
      </c>
      <c r="E84" s="3">
        <f t="shared" si="15"/>
        <v>0</v>
      </c>
      <c r="F84" s="3">
        <f t="shared" si="16"/>
        <v>0.24900470234506439</v>
      </c>
      <c r="G84" s="3">
        <f t="shared" si="17"/>
        <v>0.19949862680717281</v>
      </c>
      <c r="H84" s="3">
        <f t="shared" si="18"/>
        <v>1.2481524626519966</v>
      </c>
      <c r="I84" s="3">
        <f t="shared" si="19"/>
        <v>55.519030999331513</v>
      </c>
      <c r="R84" s="13"/>
      <c r="S84" s="12"/>
    </row>
    <row r="85" spans="1:19" ht="15.75" customHeight="1">
      <c r="A85" s="13">
        <v>40661</v>
      </c>
      <c r="B85" s="12">
        <v>46.28</v>
      </c>
      <c r="C85" s="3">
        <f t="shared" si="13"/>
        <v>-0.25</v>
      </c>
      <c r="D85" s="3">
        <f t="shared" si="14"/>
        <v>0</v>
      </c>
      <c r="E85" s="3">
        <f t="shared" si="15"/>
        <v>0.25</v>
      </c>
      <c r="F85" s="3">
        <f t="shared" si="16"/>
        <v>0.2312186521775598</v>
      </c>
      <c r="G85" s="3">
        <f t="shared" si="17"/>
        <v>0.20310586774951761</v>
      </c>
      <c r="H85" s="3">
        <f t="shared" si="18"/>
        <v>1.1384144374534397</v>
      </c>
      <c r="I85" s="3">
        <f t="shared" si="19"/>
        <v>53.236380072757846</v>
      </c>
      <c r="R85" s="13"/>
      <c r="S85" s="12"/>
    </row>
    <row r="86" spans="1:19" ht="15.75" customHeight="1">
      <c r="A86" s="13">
        <v>40662</v>
      </c>
      <c r="B86" s="12">
        <v>46.14</v>
      </c>
      <c r="C86" s="3">
        <f t="shared" si="13"/>
        <v>-0.14000000000000057</v>
      </c>
      <c r="D86" s="3">
        <f t="shared" si="14"/>
        <v>0</v>
      </c>
      <c r="E86" s="3">
        <f t="shared" si="15"/>
        <v>0.14000000000000057</v>
      </c>
      <c r="F86" s="3">
        <f t="shared" si="16"/>
        <v>0.21470303416487696</v>
      </c>
      <c r="G86" s="3">
        <f t="shared" si="17"/>
        <v>0.19859830576740925</v>
      </c>
      <c r="H86" s="3">
        <f t="shared" si="18"/>
        <v>1.0810919727398327</v>
      </c>
      <c r="I86" s="3">
        <f t="shared" si="19"/>
        <v>51.948303434015749</v>
      </c>
      <c r="R86" s="13"/>
      <c r="S86" s="12"/>
    </row>
    <row r="87" spans="1:19" ht="15.75" customHeight="1">
      <c r="A87" s="13">
        <v>40665</v>
      </c>
      <c r="B87" s="12">
        <v>45.92</v>
      </c>
      <c r="C87" s="3">
        <f t="shared" si="13"/>
        <v>-0.21999999999999886</v>
      </c>
      <c r="D87" s="3">
        <f t="shared" si="14"/>
        <v>0</v>
      </c>
      <c r="E87" s="3">
        <f t="shared" si="15"/>
        <v>0.21999999999999886</v>
      </c>
      <c r="F87" s="3">
        <f t="shared" si="16"/>
        <v>0.19936710315310005</v>
      </c>
      <c r="G87" s="3">
        <f t="shared" si="17"/>
        <v>0.20012699821259422</v>
      </c>
      <c r="H87" s="3">
        <f t="shared" si="18"/>
        <v>0.99620293580435892</v>
      </c>
      <c r="I87" s="3">
        <f t="shared" si="19"/>
        <v>49.904892831096078</v>
      </c>
      <c r="R87" s="13"/>
      <c r="S87" s="12"/>
    </row>
    <row r="88" spans="1:19" ht="15.75" customHeight="1">
      <c r="A88" s="13">
        <v>40666</v>
      </c>
      <c r="B88" s="12">
        <v>44.8</v>
      </c>
      <c r="C88" s="3">
        <f t="shared" si="13"/>
        <v>-1.1200000000000045</v>
      </c>
      <c r="D88" s="3">
        <f t="shared" si="14"/>
        <v>0</v>
      </c>
      <c r="E88" s="3">
        <f t="shared" si="15"/>
        <v>1.1200000000000045</v>
      </c>
      <c r="F88" s="3">
        <f t="shared" si="16"/>
        <v>0.18512659578502147</v>
      </c>
      <c r="G88" s="3">
        <f t="shared" si="17"/>
        <v>0.26583221262598067</v>
      </c>
      <c r="H88" s="3">
        <f t="shared" si="18"/>
        <v>0.69640392319756217</v>
      </c>
      <c r="I88" s="3">
        <f t="shared" si="19"/>
        <v>41.051775091683709</v>
      </c>
      <c r="R88" s="13"/>
      <c r="S88" s="12"/>
    </row>
    <row r="89" spans="1:19" ht="15.75" customHeight="1">
      <c r="A89" s="13">
        <v>40667</v>
      </c>
      <c r="B89" s="12">
        <v>44.38</v>
      </c>
      <c r="C89" s="3">
        <f t="shared" si="13"/>
        <v>-0.4199999999999946</v>
      </c>
      <c r="D89" s="3">
        <f t="shared" si="14"/>
        <v>0</v>
      </c>
      <c r="E89" s="3">
        <f t="shared" si="15"/>
        <v>0.4199999999999946</v>
      </c>
      <c r="F89" s="3">
        <f t="shared" si="16"/>
        <v>0.17190326751466278</v>
      </c>
      <c r="G89" s="3">
        <f t="shared" si="17"/>
        <v>0.27684419743841021</v>
      </c>
      <c r="H89" s="3">
        <f t="shared" si="18"/>
        <v>0.62093866913322704</v>
      </c>
      <c r="I89" s="3">
        <f t="shared" si="19"/>
        <v>38.3073512254023</v>
      </c>
      <c r="R89" s="13"/>
      <c r="S89" s="12"/>
    </row>
    <row r="90" spans="1:19" ht="15.75" customHeight="1">
      <c r="A90" s="13">
        <v>40668</v>
      </c>
      <c r="B90" s="12">
        <v>43.48</v>
      </c>
      <c r="C90" s="3">
        <f t="shared" si="13"/>
        <v>-0.90000000000000568</v>
      </c>
      <c r="D90" s="3">
        <f t="shared" si="14"/>
        <v>0</v>
      </c>
      <c r="E90" s="3">
        <f t="shared" si="15"/>
        <v>0.90000000000000568</v>
      </c>
      <c r="F90" s="3">
        <f t="shared" si="16"/>
        <v>0.15962446269218686</v>
      </c>
      <c r="G90" s="3">
        <f t="shared" si="17"/>
        <v>0.32135532619280988</v>
      </c>
      <c r="H90" s="3">
        <f t="shared" si="18"/>
        <v>0.49672262969251002</v>
      </c>
      <c r="I90" s="3">
        <f t="shared" si="19"/>
        <v>33.187353477414703</v>
      </c>
      <c r="R90" s="13"/>
      <c r="S90" s="12"/>
    </row>
    <row r="91" spans="1:19" ht="15.75" customHeight="1">
      <c r="A91" s="13">
        <v>40669</v>
      </c>
      <c r="B91" s="12">
        <v>44.28</v>
      </c>
      <c r="C91" s="3">
        <f t="shared" si="13"/>
        <v>0.80000000000000426</v>
      </c>
      <c r="D91" s="3">
        <f t="shared" si="14"/>
        <v>0.80000000000000426</v>
      </c>
      <c r="E91" s="3">
        <f t="shared" si="15"/>
        <v>0</v>
      </c>
      <c r="F91" s="3">
        <f t="shared" si="16"/>
        <v>0.2053655724998881</v>
      </c>
      <c r="G91" s="3">
        <f t="shared" si="17"/>
        <v>0.2984013743218949</v>
      </c>
      <c r="H91" s="3">
        <f t="shared" si="18"/>
        <v>0.68821925826103547</v>
      </c>
      <c r="I91" s="3">
        <f t="shared" si="19"/>
        <v>40.765987882992256</v>
      </c>
      <c r="R91" s="13"/>
      <c r="S91" s="12"/>
    </row>
    <row r="92" spans="1:19" ht="15.75" customHeight="1">
      <c r="A92" s="13">
        <v>40672</v>
      </c>
      <c r="B92" s="12">
        <v>44.87</v>
      </c>
      <c r="C92" s="3">
        <f t="shared" si="13"/>
        <v>0.58999999999999631</v>
      </c>
      <c r="D92" s="3">
        <f t="shared" si="14"/>
        <v>0.58999999999999631</v>
      </c>
      <c r="E92" s="3">
        <f t="shared" si="15"/>
        <v>0</v>
      </c>
      <c r="F92" s="3">
        <f t="shared" si="16"/>
        <v>0.23283946017846727</v>
      </c>
      <c r="G92" s="3">
        <f t="shared" si="17"/>
        <v>0.27708699044175955</v>
      </c>
      <c r="H92" s="3">
        <f t="shared" si="18"/>
        <v>0.84031177287411263</v>
      </c>
      <c r="I92" s="3">
        <f t="shared" si="19"/>
        <v>45.661381145312845</v>
      </c>
      <c r="R92" s="13"/>
      <c r="S92" s="12"/>
    </row>
    <row r="93" spans="1:19" ht="15.75" customHeight="1">
      <c r="A93" s="13">
        <v>40673</v>
      </c>
      <c r="B93" s="12">
        <v>44.98</v>
      </c>
      <c r="C93" s="3">
        <f t="shared" si="13"/>
        <v>0.10999999999999943</v>
      </c>
      <c r="D93" s="3">
        <f t="shared" si="14"/>
        <v>0.10999999999999943</v>
      </c>
      <c r="E93" s="3">
        <f t="shared" si="15"/>
        <v>0</v>
      </c>
      <c r="F93" s="3">
        <f t="shared" si="16"/>
        <v>0.22406521302286242</v>
      </c>
      <c r="G93" s="3">
        <f t="shared" si="17"/>
        <v>0.25729506255306245</v>
      </c>
      <c r="H93" s="3">
        <f t="shared" si="18"/>
        <v>0.87084925299199256</v>
      </c>
      <c r="I93" s="3">
        <f t="shared" si="19"/>
        <v>46.548339028346064</v>
      </c>
      <c r="R93" s="13"/>
      <c r="S93" s="12"/>
    </row>
    <row r="94" spans="1:19" ht="15.75" customHeight="1">
      <c r="A94" s="13">
        <v>40674</v>
      </c>
      <c r="B94" s="12">
        <v>43.96</v>
      </c>
      <c r="C94" s="3">
        <f t="shared" si="13"/>
        <v>-1.019999999999996</v>
      </c>
      <c r="D94" s="3">
        <f t="shared" si="14"/>
        <v>0</v>
      </c>
      <c r="E94" s="3">
        <f t="shared" si="15"/>
        <v>1.019999999999996</v>
      </c>
      <c r="F94" s="3">
        <f t="shared" si="16"/>
        <v>0.20806055494980083</v>
      </c>
      <c r="G94" s="3">
        <f t="shared" si="17"/>
        <v>0.31177398665641487</v>
      </c>
      <c r="H94" s="3">
        <f t="shared" si="18"/>
        <v>0.66734417832970261</v>
      </c>
      <c r="I94" s="3">
        <f t="shared" si="19"/>
        <v>40.024380509021761</v>
      </c>
      <c r="R94" s="13"/>
      <c r="S94" s="12"/>
    </row>
    <row r="95" spans="1:19" ht="15.75" customHeight="1">
      <c r="A95" s="13">
        <v>40675</v>
      </c>
      <c r="B95" s="12">
        <v>43.58</v>
      </c>
      <c r="C95" s="3">
        <f t="shared" si="13"/>
        <v>-0.38000000000000256</v>
      </c>
      <c r="D95" s="3">
        <f t="shared" si="14"/>
        <v>0</v>
      </c>
      <c r="E95" s="3">
        <f t="shared" si="15"/>
        <v>0.38000000000000256</v>
      </c>
      <c r="F95" s="3">
        <f t="shared" si="16"/>
        <v>0.19319908673910077</v>
      </c>
      <c r="G95" s="3">
        <f t="shared" si="17"/>
        <v>0.31664727332381398</v>
      </c>
      <c r="H95" s="3">
        <f t="shared" si="18"/>
        <v>0.61013974543696448</v>
      </c>
      <c r="I95" s="3">
        <f t="shared" si="19"/>
        <v>37.893589495325628</v>
      </c>
      <c r="R95" s="13"/>
      <c r="S95" s="12"/>
    </row>
    <row r="96" spans="1:19" ht="15.75" customHeight="1">
      <c r="A96" s="13">
        <v>40676</v>
      </c>
      <c r="B96" s="12">
        <v>42.93</v>
      </c>
      <c r="C96" s="3">
        <f t="shared" si="13"/>
        <v>-0.64999999999999858</v>
      </c>
      <c r="D96" s="3">
        <f t="shared" si="14"/>
        <v>0</v>
      </c>
      <c r="E96" s="3">
        <f t="shared" si="15"/>
        <v>0.64999999999999858</v>
      </c>
      <c r="F96" s="3">
        <f t="shared" si="16"/>
        <v>0.17939915197202214</v>
      </c>
      <c r="G96" s="3">
        <f t="shared" si="17"/>
        <v>0.34045818237211289</v>
      </c>
      <c r="H96" s="3">
        <f t="shared" si="18"/>
        <v>0.526934470254391</v>
      </c>
      <c r="I96" s="3">
        <f t="shared" si="19"/>
        <v>34.50930478808317</v>
      </c>
      <c r="R96" s="13"/>
      <c r="S96" s="12"/>
    </row>
    <row r="97" spans="1:19" ht="15.75" customHeight="1">
      <c r="A97" s="13">
        <v>40679</v>
      </c>
      <c r="B97" s="12">
        <v>42.46</v>
      </c>
      <c r="C97" s="3">
        <f t="shared" si="13"/>
        <v>-0.46999999999999886</v>
      </c>
      <c r="D97" s="3">
        <f t="shared" si="14"/>
        <v>0</v>
      </c>
      <c r="E97" s="3">
        <f t="shared" si="15"/>
        <v>0.46999999999999886</v>
      </c>
      <c r="F97" s="3">
        <f t="shared" si="16"/>
        <v>0.16658492683116341</v>
      </c>
      <c r="G97" s="3">
        <f t="shared" si="17"/>
        <v>0.34971116934553331</v>
      </c>
      <c r="H97" s="3">
        <f t="shared" si="18"/>
        <v>0.47635003235075002</v>
      </c>
      <c r="I97" s="3">
        <f t="shared" si="19"/>
        <v>32.265385708853302</v>
      </c>
      <c r="R97" s="13"/>
      <c r="S97" s="12"/>
    </row>
    <row r="98" spans="1:19" ht="15.75" customHeight="1">
      <c r="A98" s="13">
        <v>40680</v>
      </c>
      <c r="B98" s="12">
        <v>42.8</v>
      </c>
      <c r="C98" s="3">
        <f t="shared" si="13"/>
        <v>0.33999999999999631</v>
      </c>
      <c r="D98" s="3">
        <f t="shared" si="14"/>
        <v>0.33999999999999631</v>
      </c>
      <c r="E98" s="3">
        <f t="shared" si="15"/>
        <v>0</v>
      </c>
      <c r="F98" s="3">
        <f t="shared" si="16"/>
        <v>0.17897171777179435</v>
      </c>
      <c r="G98" s="3">
        <f t="shared" si="17"/>
        <v>0.32473180010656666</v>
      </c>
      <c r="H98" s="3">
        <f t="shared" si="18"/>
        <v>0.55113702357780026</v>
      </c>
      <c r="I98" s="3">
        <f t="shared" si="19"/>
        <v>35.531162959837445</v>
      </c>
      <c r="R98" s="13"/>
      <c r="S98" s="12"/>
    </row>
    <row r="99" spans="1:19" ht="15.75" customHeight="1">
      <c r="A99" s="13">
        <v>40681</v>
      </c>
      <c r="B99" s="12">
        <v>43.27</v>
      </c>
      <c r="C99" s="3">
        <f t="shared" si="13"/>
        <v>0.47000000000000597</v>
      </c>
      <c r="D99" s="3">
        <f t="shared" si="14"/>
        <v>0.47000000000000597</v>
      </c>
      <c r="E99" s="3">
        <f t="shared" si="15"/>
        <v>0</v>
      </c>
      <c r="F99" s="3">
        <f t="shared" si="16"/>
        <v>0.19975945221666661</v>
      </c>
      <c r="G99" s="3">
        <f t="shared" si="17"/>
        <v>0.30153667152752617</v>
      </c>
      <c r="H99" s="3">
        <f t="shared" si="18"/>
        <v>0.6624715037302894</v>
      </c>
      <c r="I99" s="3">
        <f t="shared" si="19"/>
        <v>39.848593028140428</v>
      </c>
      <c r="R99" s="13"/>
      <c r="S99" s="12"/>
    </row>
    <row r="100" spans="1:19" ht="15.75" customHeight="1">
      <c r="A100" s="13">
        <v>40682</v>
      </c>
      <c r="B100" s="12">
        <v>43.89</v>
      </c>
      <c r="C100" s="3">
        <f t="shared" si="13"/>
        <v>0.61999999999999744</v>
      </c>
      <c r="D100" s="3">
        <f t="shared" si="14"/>
        <v>0.61999999999999744</v>
      </c>
      <c r="E100" s="3">
        <f t="shared" si="15"/>
        <v>0</v>
      </c>
      <c r="F100" s="3">
        <f t="shared" si="16"/>
        <v>0.22977663420119024</v>
      </c>
      <c r="G100" s="3">
        <f t="shared" si="17"/>
        <v>0.27999833784698858</v>
      </c>
      <c r="H100" s="3">
        <f t="shared" si="18"/>
        <v>0.82063570794036955</v>
      </c>
      <c r="I100" s="3">
        <f t="shared" si="19"/>
        <v>45.074130116272968</v>
      </c>
      <c r="R100" s="13"/>
      <c r="S100" s="12"/>
    </row>
    <row r="101" spans="1:19" ht="15.75" customHeight="1">
      <c r="A101" s="13">
        <v>40683</v>
      </c>
      <c r="B101" s="12">
        <v>45</v>
      </c>
      <c r="C101" s="3">
        <f t="shared" si="13"/>
        <v>1.1099999999999994</v>
      </c>
      <c r="D101" s="3">
        <f t="shared" si="14"/>
        <v>1.1099999999999994</v>
      </c>
      <c r="E101" s="3">
        <f t="shared" si="15"/>
        <v>0</v>
      </c>
      <c r="F101" s="3">
        <f t="shared" si="16"/>
        <v>0.29264973175824804</v>
      </c>
      <c r="G101" s="3">
        <f t="shared" si="17"/>
        <v>0.25999845657220366</v>
      </c>
      <c r="H101" s="3">
        <f t="shared" si="18"/>
        <v>1.1255825731295326</v>
      </c>
      <c r="I101" s="3">
        <f t="shared" si="19"/>
        <v>52.954074208103698</v>
      </c>
      <c r="R101" s="13"/>
      <c r="S101" s="12"/>
    </row>
    <row r="102" spans="1:19" ht="15.75" customHeight="1">
      <c r="A102" s="13">
        <v>40686</v>
      </c>
      <c r="B102" s="12">
        <v>44.03</v>
      </c>
      <c r="C102" s="3">
        <f t="shared" ref="C102:C106" si="20">B102-B101</f>
        <v>-0.96999999999999886</v>
      </c>
      <c r="D102" s="3">
        <f t="shared" ref="D102:D106" si="21">IF(C102&gt;0,C102,0)</f>
        <v>0</v>
      </c>
      <c r="E102" s="3">
        <f t="shared" ref="E102:E106" si="22">IF(C102&lt;0,-C102,0)</f>
        <v>0.96999999999999886</v>
      </c>
      <c r="F102" s="3">
        <f t="shared" ref="F102:F106" si="23">((F101*13)+D102)/14</f>
        <v>0.27174617948980179</v>
      </c>
      <c r="G102" s="3">
        <f t="shared" ref="G102:G106" si="24">((G101*13)+E102)/14</f>
        <v>0.31071285253133191</v>
      </c>
      <c r="H102" s="3">
        <f t="shared" ref="H102:H106" si="25">F102/G102</f>
        <v>0.8745894393357907</v>
      </c>
      <c r="I102" s="3">
        <f t="shared" ref="I102:I106" si="26">IF(G102=0,100,100-(100/(1+H102)))</f>
        <v>46.65498593898392</v>
      </c>
      <c r="R102" s="13"/>
      <c r="S102" s="12"/>
    </row>
    <row r="103" spans="1:19" ht="15.75" customHeight="1">
      <c r="A103" s="13">
        <v>40687</v>
      </c>
      <c r="B103" s="12">
        <v>44.37</v>
      </c>
      <c r="C103" s="3">
        <f t="shared" si="20"/>
        <v>0.33999999999999631</v>
      </c>
      <c r="D103" s="3">
        <f t="shared" si="21"/>
        <v>0.33999999999999631</v>
      </c>
      <c r="E103" s="3">
        <f t="shared" si="22"/>
        <v>0</v>
      </c>
      <c r="F103" s="3">
        <f t="shared" si="23"/>
        <v>0.27662145238338709</v>
      </c>
      <c r="G103" s="3">
        <f t="shared" si="24"/>
        <v>0.28851907735052246</v>
      </c>
      <c r="H103" s="3">
        <f t="shared" si="25"/>
        <v>0.95876312555692489</v>
      </c>
      <c r="I103" s="3">
        <f t="shared" si="26"/>
        <v>48.947374649210062</v>
      </c>
      <c r="R103" s="13"/>
      <c r="S103" s="12"/>
    </row>
    <row r="104" spans="1:19" ht="15.75" customHeight="1">
      <c r="A104" s="13">
        <v>40688</v>
      </c>
      <c r="B104" s="12">
        <v>44.71</v>
      </c>
      <c r="C104" s="3">
        <f t="shared" si="20"/>
        <v>0.34000000000000341</v>
      </c>
      <c r="D104" s="3">
        <f t="shared" si="21"/>
        <v>0.34000000000000341</v>
      </c>
      <c r="E104" s="3">
        <f t="shared" si="22"/>
        <v>0</v>
      </c>
      <c r="F104" s="3">
        <f t="shared" si="23"/>
        <v>0.28114849149885968</v>
      </c>
      <c r="G104" s="3">
        <f t="shared" si="24"/>
        <v>0.26791057182548517</v>
      </c>
      <c r="H104" s="3">
        <f t="shared" si="25"/>
        <v>1.049411710718148</v>
      </c>
      <c r="I104" s="3">
        <f t="shared" si="26"/>
        <v>51.205509621608272</v>
      </c>
      <c r="R104" s="13"/>
      <c r="S104" s="12"/>
    </row>
    <row r="105" spans="1:19" ht="15.75" customHeight="1">
      <c r="A105" s="13">
        <v>40689</v>
      </c>
      <c r="B105" s="12">
        <v>45.38</v>
      </c>
      <c r="C105" s="3">
        <f t="shared" si="20"/>
        <v>0.67000000000000171</v>
      </c>
      <c r="D105" s="3">
        <f t="shared" si="21"/>
        <v>0.67000000000000171</v>
      </c>
      <c r="E105" s="3">
        <f t="shared" si="22"/>
        <v>0</v>
      </c>
      <c r="F105" s="3">
        <f t="shared" si="23"/>
        <v>0.30892359924894125</v>
      </c>
      <c r="G105" s="3">
        <f t="shared" si="24"/>
        <v>0.24877410240937908</v>
      </c>
      <c r="H105" s="3">
        <f t="shared" si="25"/>
        <v>1.2417835950648151</v>
      </c>
      <c r="I105" s="3">
        <f t="shared" si="26"/>
        <v>55.392661352261889</v>
      </c>
      <c r="R105" s="13"/>
      <c r="S105" s="12"/>
    </row>
    <row r="106" spans="1:19" ht="15.75" customHeight="1">
      <c r="A106" s="13">
        <v>40690</v>
      </c>
      <c r="B106" s="12">
        <v>45.54</v>
      </c>
      <c r="C106" s="3">
        <f t="shared" si="20"/>
        <v>0.15999999999999659</v>
      </c>
      <c r="D106" s="3">
        <f t="shared" si="21"/>
        <v>0.15999999999999659</v>
      </c>
      <c r="E106" s="3">
        <f t="shared" si="22"/>
        <v>0</v>
      </c>
      <c r="F106" s="3">
        <f t="shared" si="23"/>
        <v>0.2982861993025881</v>
      </c>
      <c r="G106" s="3">
        <f t="shared" si="24"/>
        <v>0.231004523665852</v>
      </c>
      <c r="H106" s="3">
        <f t="shared" si="25"/>
        <v>1.2912569614180327</v>
      </c>
      <c r="I106" s="3">
        <f t="shared" si="26"/>
        <v>56.355833638968569</v>
      </c>
      <c r="R106" s="13"/>
      <c r="S106" s="12"/>
    </row>
    <row r="107" spans="1:19" ht="15.75" customHeight="1">
      <c r="A107" s="12" t="s">
        <v>9</v>
      </c>
      <c r="B107" s="12"/>
      <c r="R107" s="13"/>
      <c r="S107" s="12"/>
    </row>
    <row r="108" spans="1:19" ht="15.75" customHeight="1">
      <c r="R108" s="13"/>
      <c r="S108" s="12"/>
    </row>
    <row r="109" spans="1:19" ht="15.75" customHeight="1">
      <c r="R109" s="12"/>
      <c r="S109" s="12"/>
    </row>
  </sheetData>
  <phoneticPr fontId="1" type="noConversion"/>
  <hyperlinks>
    <hyperlink ref="A2" r:id="rId1"/>
  </hyperlinks>
  <pageMargins left="0.75" right="0.75" top="1" bottom="1" header="0.5" footer="0.5"/>
  <pageSetup orientation="portrait" horizontalDpi="4294967293" verticalDpi="0" r:id="rId2"/>
  <headerFooter alignWithMargins="0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RSI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simulationconsultant@gmail.com</dc:creator>
  <cp:lastModifiedBy>Samir</cp:lastModifiedBy>
  <dcterms:created xsi:type="dcterms:W3CDTF">2010-03-25T14:42:42Z</dcterms:created>
  <dcterms:modified xsi:type="dcterms:W3CDTF">2012-06-24T18:59:49Z</dcterms:modified>
</cp:coreProperties>
</file>